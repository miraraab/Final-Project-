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SOLIDATED DASHBOARD" sheetId="1" state="visible" r:id="rId1"/>
    <sheet xmlns:r="http://schemas.openxmlformats.org/officeDocument/2006/relationships" name="SOURCE 1 — SAP Finance" sheetId="2" state="visible" r:id="rId2"/>
    <sheet xmlns:r="http://schemas.openxmlformats.org/officeDocument/2006/relationships" name="SOURCE 2 — PL Status Input" sheetId="3" state="visible" r:id="rId3"/>
    <sheet xmlns:r="http://schemas.openxmlformats.org/officeDocument/2006/relationships" name="SOURCE 3 — HR Timesheet" sheetId="4" state="visible" r:id="rId4"/>
    <sheet xmlns:r="http://schemas.openxmlformats.org/officeDocument/2006/relationships" name="SOURCE 4 — Milestone Tracker" sheetId="5" state="visible" r:id="rId5"/>
    <sheet xmlns:r="http://schemas.openxmlformats.org/officeDocument/2006/relationships" name="AI Prompt Templat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4E7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6591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F4E79"/>
      <sz val="9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E0E0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left" vertical="center" wrapText="1"/>
    </xf>
    <xf numFmtId="9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9" fontId="11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general" vertical="top"/>
    </xf>
    <xf numFmtId="0" fontId="13" fillId="3" borderId="0" applyAlignment="1" pivotButton="0" quotePrefix="0" xfId="0">
      <alignment horizontal="general" vertical="top" wrapText="1"/>
    </xf>
    <xf numFmtId="0" fontId="14" fillId="6" borderId="0" applyAlignment="1" pivotButton="0" quotePrefix="0" xfId="0">
      <alignment horizontal="general" vertical="top"/>
    </xf>
    <xf numFmtId="0" fontId="13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left" vertical="center" wrapText="1"/>
    </xf>
    <xf numFmtId="9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9" borderId="1" applyAlignment="1" pivotButton="0" quotePrefix="0" xfId="0">
      <alignment horizontal="center" vertical="center" wrapText="1"/>
    </xf>
    <xf numFmtId="9" fontId="11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general" vertical="top"/>
    </xf>
    <xf numFmtId="0" fontId="13" fillId="3" borderId="0" applyAlignment="1" pivotButton="0" quotePrefix="0" xfId="0">
      <alignment horizontal="general" vertical="top" wrapText="1"/>
    </xf>
    <xf numFmtId="0" fontId="14" fillId="6" borderId="0" applyAlignment="1" pivotButton="0" quotePrefix="0" xfId="0">
      <alignment horizontal="general" vertical="top"/>
    </xf>
    <xf numFmtId="0" fontId="13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34" customWidth="1" style="32" min="2" max="2"/>
    <col width="13" customWidth="1" style="32" min="3" max="3"/>
    <col width="14" customWidth="1" style="32" min="4" max="5"/>
    <col width="10" customWidth="1" style="32" min="6" max="6"/>
    <col width="13" customWidth="1" style="32" min="7" max="8"/>
    <col width="10" customWidth="1" style="32" min="9" max="9"/>
    <col width="12" customWidth="1" style="32" min="10" max="10"/>
    <col width="22" customWidth="1" style="32" min="11" max="11"/>
    <col width="46" customWidth="1" style="32" min="12" max="12"/>
  </cols>
  <sheetData>
    <row r="1" ht="27.75" customHeight="1" s="33">
      <c r="A1" s="34" t="inlineStr">
        <is>
          <t>CONSOLIDATED PORTFOLIO DASHBOARD — IME Division  |  June 2026  |  AI-Generated Draft</t>
        </is>
      </c>
    </row>
    <row r="2" ht="15.75" customHeight="1" s="33">
      <c r="A2" s="35" t="inlineStr">
        <is>
          <t>Auto-consolidated from Sources 1–4. Human review required before distribution to Division Leadership.</t>
        </is>
      </c>
    </row>
    <row r="3" ht="39.75" customHeight="1" s="33">
      <c r="A3" s="36" t="inlineStr">
        <is>
          <t>Project ID</t>
        </is>
      </c>
      <c r="B3" s="36" t="inlineStr">
        <is>
          <t>Project Name</t>
        </is>
      </c>
      <c r="C3" s="36" t="inlineStr">
        <is>
          <t>Funder</t>
        </is>
      </c>
      <c r="D3" s="36" t="inlineStr">
        <is>
          <t>Budget (€)</t>
        </is>
      </c>
      <c r="E3" s="36" t="inlineStr">
        <is>
          <t>Spend YTD (€)</t>
        </is>
      </c>
      <c r="F3" s="36" t="inlineStr">
        <is>
          <t>Budget %</t>
        </is>
      </c>
      <c r="G3" s="36" t="inlineStr">
        <is>
          <t>HR Utilisation %</t>
        </is>
      </c>
      <c r="H3" s="36" t="inlineStr">
        <is>
          <t>Milestone Status</t>
        </is>
      </c>
      <c r="I3" s="36" t="inlineStr">
        <is>
          <t>Overall Status</t>
        </is>
      </c>
      <c r="J3" s="36" t="inlineStr">
        <is>
          <t>Escalation?</t>
        </is>
      </c>
      <c r="K3" s="36" t="inlineStr">
        <is>
          <t>Next Milestone</t>
        </is>
      </c>
      <c r="L3" s="36" t="inlineStr">
        <is>
          <t>Key Risk / Action Required</t>
        </is>
      </c>
    </row>
    <row r="4" ht="24" customHeight="1" s="33">
      <c r="A4" s="37" t="inlineStr">
        <is>
          <t>IME-001</t>
        </is>
      </c>
      <c r="B4" s="38" t="inlineStr">
        <is>
          <t>Industrial Energy Efficiency Programme</t>
        </is>
      </c>
      <c r="C4" s="37" t="inlineStr">
        <is>
          <t>BMWK</t>
        </is>
      </c>
      <c r="D4" s="39" t="n">
        <v>320000</v>
      </c>
      <c r="E4" s="39" t="n">
        <v>285000</v>
      </c>
      <c r="F4" s="40" t="n">
        <v>0.89</v>
      </c>
      <c r="G4" s="40" t="n">
        <v>0.66</v>
      </c>
      <c r="H4" s="37" t="inlineStr">
        <is>
          <t>1 overdue</t>
        </is>
      </c>
      <c r="I4" s="41" t="inlineStr">
        <is>
          <t>Red</t>
        </is>
      </c>
      <c r="J4" s="42" t="inlineStr">
        <is>
          <t>Yes</t>
        </is>
      </c>
      <c r="K4" s="38" t="inlineStr">
        <is>
          <t>Extension approval</t>
        </is>
      </c>
      <c r="L4" s="38" t="inlineStr">
        <is>
          <t>URGENT: No-cost extension needed by June 30. Budget critical.</t>
        </is>
      </c>
    </row>
    <row r="5" ht="24" customHeight="1" s="33">
      <c r="A5" s="43" t="inlineStr">
        <is>
          <t>IME-002</t>
        </is>
      </c>
      <c r="B5" s="44" t="inlineStr">
        <is>
          <t>Hydrogen Readiness SME Network</t>
        </is>
      </c>
      <c r="C5" s="43" t="inlineStr">
        <is>
          <t>EU Horizon</t>
        </is>
      </c>
      <c r="D5" s="45" t="n">
        <v>540000</v>
      </c>
      <c r="E5" s="45" t="n">
        <v>198000</v>
      </c>
      <c r="F5" s="46" t="n">
        <v>0.37</v>
      </c>
      <c r="G5" s="46" t="n">
        <v>0.79</v>
      </c>
      <c r="H5" s="43" t="inlineStr">
        <is>
          <t>On track</t>
        </is>
      </c>
      <c r="I5" s="47" t="inlineStr">
        <is>
          <t>Green</t>
        </is>
      </c>
      <c r="J5" s="43" t="inlineStr">
        <is>
          <t>No</t>
        </is>
      </c>
      <c r="K5" s="44" t="inlineStr">
        <is>
          <t>Workshop #2 Jul 15</t>
        </is>
      </c>
      <c r="L5" s="44" t="inlineStr">
        <is>
          <t>On track. Partner engagement exceeds targets.</t>
        </is>
      </c>
    </row>
    <row r="6" ht="24" customHeight="1" s="33">
      <c r="A6" s="37" t="inlineStr">
        <is>
          <t>IME-003</t>
        </is>
      </c>
      <c r="B6" s="38" t="inlineStr">
        <is>
          <t>Mobility Transition NRW — Phase II</t>
        </is>
      </c>
      <c r="C6" s="37" t="inlineStr">
        <is>
          <t>BMWK</t>
        </is>
      </c>
      <c r="D6" s="39" t="n">
        <v>210000</v>
      </c>
      <c r="E6" s="39" t="n">
        <v>204000</v>
      </c>
      <c r="F6" s="40" t="n">
        <v>0.97</v>
      </c>
      <c r="G6" s="40" t="n">
        <v>0.61</v>
      </c>
      <c r="H6" s="37" t="inlineStr">
        <is>
          <t>1 overdue</t>
        </is>
      </c>
      <c r="I6" s="48" t="inlineStr">
        <is>
          <t>Amber</t>
        </is>
      </c>
      <c r="J6" s="37" t="inlineStr">
        <is>
          <t>No</t>
        </is>
      </c>
      <c r="K6" s="38" t="inlineStr">
        <is>
          <t>Interim report Jul 1</t>
        </is>
      </c>
      <c r="L6" s="38" t="inlineStr">
        <is>
          <t>Funder meeting overdue 31 days. Budget overrun ~€6k projected.</t>
        </is>
      </c>
    </row>
    <row r="7" ht="24" customHeight="1" s="33">
      <c r="A7" s="43" t="inlineStr">
        <is>
          <t>IME-004</t>
        </is>
      </c>
      <c r="B7" s="44" t="inlineStr">
        <is>
          <t>Building Renovation Accelerator</t>
        </is>
      </c>
      <c r="C7" s="43" t="inlineStr">
        <is>
          <t>KfW</t>
        </is>
      </c>
      <c r="D7" s="45" t="n">
        <v>480000</v>
      </c>
      <c r="E7" s="45" t="n">
        <v>89000</v>
      </c>
      <c r="F7" s="46" t="n">
        <v>0.19</v>
      </c>
      <c r="G7" s="46" t="n">
        <v>0.82</v>
      </c>
      <c r="H7" s="43" t="inlineStr">
        <is>
          <t>On track</t>
        </is>
      </c>
      <c r="I7" s="47" t="inlineStr">
        <is>
          <t>Green</t>
        </is>
      </c>
      <c r="J7" s="43" t="inlineStr">
        <is>
          <t>No</t>
        </is>
      </c>
      <c r="K7" s="44" t="inlineStr">
        <is>
          <t>Site selection Aug 31</t>
        </is>
      </c>
      <c r="L7" s="44" t="inlineStr">
        <is>
          <t>On track. 3/5 pilot sites confirmed.</t>
        </is>
      </c>
    </row>
    <row r="8" ht="24" customHeight="1" s="33">
      <c r="A8" s="37" t="inlineStr">
        <is>
          <t>IME-005</t>
        </is>
      </c>
      <c r="B8" s="38" t="inlineStr">
        <is>
          <t>Industrial Heat Pump Market Study</t>
        </is>
      </c>
      <c r="C8" s="37" t="inlineStr">
        <is>
          <t>BMWK</t>
        </is>
      </c>
      <c r="D8" s="39" t="n">
        <v>95000</v>
      </c>
      <c r="E8" s="39" t="n">
        <v>91000</v>
      </c>
      <c r="F8" s="40" t="n">
        <v>0.96</v>
      </c>
      <c r="G8" s="40" t="n">
        <v>0.74</v>
      </c>
      <c r="H8" s="37" t="inlineStr">
        <is>
          <t>Delayed</t>
        </is>
      </c>
      <c r="I8" s="48" t="inlineStr">
        <is>
          <t>Amber</t>
        </is>
      </c>
      <c r="J8" s="37" t="inlineStr">
        <is>
          <t>No</t>
        </is>
      </c>
      <c r="K8" s="38" t="inlineStr">
        <is>
          <t>Publication Aug 15</t>
        </is>
      </c>
      <c r="L8" s="38" t="inlineStr">
        <is>
          <t>Minor overrun. Publication delayed 3 weeks.</t>
        </is>
      </c>
    </row>
    <row r="9" ht="24" customHeight="1" s="33">
      <c r="A9" s="43" t="inlineStr">
        <is>
          <t>IME-006</t>
        </is>
      </c>
      <c r="B9" s="44" t="inlineStr">
        <is>
          <t>EV Fleet Transition — Public Sector</t>
        </is>
      </c>
      <c r="C9" s="43" t="inlineStr">
        <is>
          <t>BMDV</t>
        </is>
      </c>
      <c r="D9" s="45" t="n">
        <v>275000</v>
      </c>
      <c r="E9" s="45" t="n">
        <v>132000</v>
      </c>
      <c r="F9" s="46" t="n">
        <v>0.48</v>
      </c>
      <c r="G9" s="46" t="n">
        <v>0.75</v>
      </c>
      <c r="H9" s="43" t="inlineStr">
        <is>
          <t>On track</t>
        </is>
      </c>
      <c r="I9" s="47" t="inlineStr">
        <is>
          <t>Green</t>
        </is>
      </c>
      <c r="J9" s="43" t="inlineStr">
        <is>
          <t>No</t>
        </is>
      </c>
      <c r="K9" s="44" t="inlineStr">
        <is>
          <t>Review Jul 30</t>
        </is>
      </c>
      <c r="L9" s="44" t="inlineStr">
        <is>
          <t>On track. Strong municipal engagement.</t>
        </is>
      </c>
    </row>
    <row r="10" ht="24" customHeight="1" s="33">
      <c r="A10" s="37" t="inlineStr">
        <is>
          <t>IME-007</t>
        </is>
      </c>
      <c r="B10" s="38" t="inlineStr">
        <is>
          <t>Energy Audit Digital Platform</t>
        </is>
      </c>
      <c r="C10" s="37" t="inlineStr">
        <is>
          <t>EU LIFE</t>
        </is>
      </c>
      <c r="D10" s="39" t="n">
        <v>185000</v>
      </c>
      <c r="E10" s="39" t="n">
        <v>192000</v>
      </c>
      <c r="F10" s="40" t="n">
        <v>1.04</v>
      </c>
      <c r="G10" s="40" t="n">
        <v>0.91</v>
      </c>
      <c r="H10" s="37" t="inlineStr">
        <is>
          <t>Critical</t>
        </is>
      </c>
      <c r="I10" s="41" t="inlineStr">
        <is>
          <t>Red</t>
        </is>
      </c>
      <c r="J10" s="42" t="inlineStr">
        <is>
          <t>Yes</t>
        </is>
      </c>
      <c r="K10" s="38" t="inlineStr">
        <is>
          <t>Revised go-live Jul 31</t>
        </is>
      </c>
      <c r="L10" s="38" t="inlineStr">
        <is>
          <t>URGENT: IT integration failure. Vendor unresponsive. Management escalation needed.</t>
        </is>
      </c>
    </row>
    <row r="11" ht="24" customHeight="1" s="33">
      <c r="A11" s="43" t="inlineStr">
        <is>
          <t>IME-008</t>
        </is>
      </c>
      <c r="B11" s="44" t="inlineStr">
        <is>
          <t>Carbon Neutrality Roadmap</t>
        </is>
      </c>
      <c r="C11" s="43" t="inlineStr">
        <is>
          <t>BMWK</t>
        </is>
      </c>
      <c r="D11" s="45" t="n">
        <v>390000</v>
      </c>
      <c r="E11" s="45" t="n">
        <v>54000</v>
      </c>
      <c r="F11" s="46" t="n">
        <v>0.14</v>
      </c>
      <c r="G11" s="46" t="n">
        <v>0.74</v>
      </c>
      <c r="H11" s="43" t="inlineStr">
        <is>
          <t>On track</t>
        </is>
      </c>
      <c r="I11" s="47" t="inlineStr">
        <is>
          <t>Green</t>
        </is>
      </c>
      <c r="J11" s="43" t="inlineStr">
        <is>
          <t>No</t>
        </is>
      </c>
      <c r="K11" s="44" t="inlineStr">
        <is>
          <t>Board setup Jul 15</t>
        </is>
      </c>
      <c r="L11" s="44" t="inlineStr">
        <is>
          <t>On track. Advisory board 6/8 confirmed.</t>
        </is>
      </c>
    </row>
    <row r="12" ht="24" customHeight="1" s="33">
      <c r="A12" s="37" t="inlineStr">
        <is>
          <t>IME-009</t>
        </is>
      </c>
      <c r="B12" s="38" t="inlineStr">
        <is>
          <t>District Heating Transition</t>
        </is>
      </c>
      <c r="C12" s="37" t="inlineStr">
        <is>
          <t>BMUV</t>
        </is>
      </c>
      <c r="D12" s="39" t="n">
        <v>620000</v>
      </c>
      <c r="E12" s="39" t="n">
        <v>178000</v>
      </c>
      <c r="F12" s="40" t="n">
        <v>0.29</v>
      </c>
      <c r="G12" s="40" t="n">
        <v>0.66</v>
      </c>
      <c r="H12" s="37" t="inlineStr">
        <is>
          <t>On track</t>
        </is>
      </c>
      <c r="I12" s="47" t="inlineStr">
        <is>
          <t>Green</t>
        </is>
      </c>
      <c r="J12" s="37" t="inlineStr">
        <is>
          <t>No</t>
        </is>
      </c>
      <c r="K12" s="38" t="inlineStr">
        <is>
          <t>MOU signing Aug 1</t>
        </is>
      </c>
      <c r="L12" s="38" t="inlineStr">
        <is>
          <t>On track. Legal review causing minor delay.</t>
        </is>
      </c>
    </row>
    <row r="13" ht="24" customHeight="1" s="33">
      <c r="A13" s="43" t="inlineStr">
        <is>
          <t>IME-010</t>
        </is>
      </c>
      <c r="B13" s="44" t="inlineStr">
        <is>
          <t>Smart Industry Energy Monitoring</t>
        </is>
      </c>
      <c r="C13" s="43" t="inlineStr">
        <is>
          <t>EU Interreg</t>
        </is>
      </c>
      <c r="D13" s="45" t="n">
        <v>310000</v>
      </c>
      <c r="E13" s="45" t="n">
        <v>98000</v>
      </c>
      <c r="F13" s="46" t="n">
        <v>0.32</v>
      </c>
      <c r="G13" s="46" t="n">
        <v>0.88</v>
      </c>
      <c r="H13" s="43" t="inlineStr">
        <is>
          <t>At risk</t>
        </is>
      </c>
      <c r="I13" s="48" t="inlineStr">
        <is>
          <t>Amber</t>
        </is>
      </c>
      <c r="J13" s="43" t="inlineStr">
        <is>
          <t>No</t>
        </is>
      </c>
      <c r="K13" s="44" t="inlineStr">
        <is>
          <t>Framework Jul 31</t>
        </is>
      </c>
      <c r="L13" s="44" t="inlineStr">
        <is>
          <t>Partner agreements delayed. Risk to July milestone.</t>
        </is>
      </c>
    </row>
    <row r="14" ht="24" customHeight="1" s="33">
      <c r="A14" s="37" t="inlineStr">
        <is>
          <t>IME-011</t>
        </is>
      </c>
      <c r="B14" s="38" t="inlineStr">
        <is>
          <t>Energy Efficiency Audit SME</t>
        </is>
      </c>
      <c r="C14" s="37" t="inlineStr">
        <is>
          <t>BMWK</t>
        </is>
      </c>
      <c r="D14" s="39" t="n">
        <v>145000</v>
      </c>
      <c r="E14" s="39" t="n">
        <v>138000</v>
      </c>
      <c r="F14" s="40" t="n">
        <v>0.95</v>
      </c>
      <c r="G14" s="40" t="n">
        <v>0.76</v>
      </c>
      <c r="H14" s="37" t="inlineStr">
        <is>
          <t>On track</t>
        </is>
      </c>
      <c r="I14" s="41" t="inlineStr">
        <is>
          <t>Red</t>
        </is>
      </c>
      <c r="J14" s="42" t="inlineStr">
        <is>
          <t>Yes</t>
        </is>
      </c>
      <c r="K14" s="38" t="inlineStr">
        <is>
          <t>Q3 cycle Jul 15</t>
        </is>
      </c>
      <c r="L14" s="38" t="inlineStr">
        <is>
          <t>URGENT: Only €7k remaining. 3 audits outstanding. Emergency budget review needed.</t>
        </is>
      </c>
    </row>
    <row r="15" ht="24" customHeight="1" s="33">
      <c r="A15" s="43" t="inlineStr">
        <is>
          <t>IME-012</t>
        </is>
      </c>
      <c r="B15" s="44" t="inlineStr">
        <is>
          <t>Green Hydrogen Production Study</t>
        </is>
      </c>
      <c r="C15" s="43" t="inlineStr">
        <is>
          <t>BMUV</t>
        </is>
      </c>
      <c r="D15" s="45" t="n">
        <v>260000</v>
      </c>
      <c r="E15" s="45" t="n">
        <v>72000</v>
      </c>
      <c r="F15" s="46" t="n">
        <v>0.28</v>
      </c>
      <c r="G15" s="46" t="n">
        <v>0.65</v>
      </c>
      <c r="H15" s="43" t="inlineStr">
        <is>
          <t>On track</t>
        </is>
      </c>
      <c r="I15" s="47" t="inlineStr">
        <is>
          <t>Green</t>
        </is>
      </c>
      <c r="J15" s="43" t="inlineStr">
        <is>
          <t>No</t>
        </is>
      </c>
      <c r="K15" s="44" t="inlineStr">
        <is>
          <t>Interviews Jul 1</t>
        </is>
      </c>
      <c r="L15" s="44" t="inlineStr">
        <is>
          <t>On track. Early stage.</t>
        </is>
      </c>
    </row>
    <row r="16" ht="24" customHeight="1" s="33">
      <c r="A16" s="37" t="inlineStr">
        <is>
          <t>IME-013</t>
        </is>
      </c>
      <c r="B16" s="38" t="inlineStr">
        <is>
          <t>Sector Coupling Innovation Network</t>
        </is>
      </c>
      <c r="C16" s="37" t="inlineStr">
        <is>
          <t>EU Horizon</t>
        </is>
      </c>
      <c r="D16" s="39" t="n">
        <v>410000</v>
      </c>
      <c r="E16" s="39" t="n">
        <v>155000</v>
      </c>
      <c r="F16" s="40" t="n">
        <v>0.38</v>
      </c>
      <c r="G16" s="40" t="n">
        <v>0.8100000000000001</v>
      </c>
      <c r="H16" s="37" t="inlineStr">
        <is>
          <t>On track</t>
        </is>
      </c>
      <c r="I16" s="47" t="inlineStr">
        <is>
          <t>Green</t>
        </is>
      </c>
      <c r="J16" s="37" t="inlineStr">
        <is>
          <t>No</t>
        </is>
      </c>
      <c r="K16" s="38" t="inlineStr">
        <is>
          <t>Conference Sep 15</t>
        </is>
      </c>
      <c r="L16" s="38" t="inlineStr">
        <is>
          <t>On track. Venue TBC.</t>
        </is>
      </c>
    </row>
    <row r="17" ht="24" customHeight="1" s="33">
      <c r="A17" s="43" t="inlineStr">
        <is>
          <t>IME-014</t>
        </is>
      </c>
      <c r="B17" s="44" t="inlineStr">
        <is>
          <t>Low-Carbon Transport Feasibility</t>
        </is>
      </c>
      <c r="C17" s="43" t="inlineStr">
        <is>
          <t>BMWK</t>
        </is>
      </c>
      <c r="D17" s="45" t="n">
        <v>78000</v>
      </c>
      <c r="E17" s="45" t="n">
        <v>77000</v>
      </c>
      <c r="F17" s="46" t="n">
        <v>0.99</v>
      </c>
      <c r="G17" s="46" t="n">
        <v>0.55</v>
      </c>
      <c r="H17" s="43" t="inlineStr">
        <is>
          <t>On track</t>
        </is>
      </c>
      <c r="I17" s="48" t="inlineStr">
        <is>
          <t>Amber</t>
        </is>
      </c>
      <c r="J17" s="43" t="inlineStr">
        <is>
          <t>No</t>
        </is>
      </c>
      <c r="K17" s="44" t="inlineStr">
        <is>
          <t>Final report Jul 31</t>
        </is>
      </c>
      <c r="L17" s="44" t="inlineStr">
        <is>
          <t>Budget nearly exhausted. Last deliverable only remaining.</t>
        </is>
      </c>
    </row>
    <row r="18" ht="24" customHeight="1" s="33">
      <c r="A18" s="37" t="inlineStr">
        <is>
          <t>IME-015</t>
        </is>
      </c>
      <c r="B18" s="38" t="inlineStr">
        <is>
          <t>Smart Grid Pilot — Rural Areas</t>
        </is>
      </c>
      <c r="C18" s="37" t="inlineStr">
        <is>
          <t>KfW</t>
        </is>
      </c>
      <c r="D18" s="39" t="n">
        <v>330000</v>
      </c>
      <c r="E18" s="39" t="n">
        <v>118000</v>
      </c>
      <c r="F18" s="40" t="n">
        <v>0.36</v>
      </c>
      <c r="G18" s="40" t="n">
        <v>0.6</v>
      </c>
      <c r="H18" s="37" t="inlineStr">
        <is>
          <t>Completed</t>
        </is>
      </c>
      <c r="I18" s="47" t="inlineStr">
        <is>
          <t>Green</t>
        </is>
      </c>
      <c r="J18" s="37" t="inlineStr">
        <is>
          <t>No</t>
        </is>
      </c>
      <c r="K18" s="38" t="inlineStr">
        <is>
          <t>Field measure Aug</t>
        </is>
      </c>
      <c r="L18" s="38" t="inlineStr">
        <is>
          <t>Milestone completed ahead of schedule.</t>
        </is>
      </c>
    </row>
    <row r="19" ht="24" customHeight="1" s="33">
      <c r="A19" s="43" t="inlineStr">
        <is>
          <t>IME-016</t>
        </is>
      </c>
      <c r="B19" s="44" t="inlineStr">
        <is>
          <t>Industrial Decarbonisation Roadmap</t>
        </is>
      </c>
      <c r="C19" s="43" t="inlineStr">
        <is>
          <t>BMDV</t>
        </is>
      </c>
      <c r="D19" s="45" t="n">
        <v>195000</v>
      </c>
      <c r="E19" s="45" t="n">
        <v>44000</v>
      </c>
      <c r="F19" s="46" t="n">
        <v>0.23</v>
      </c>
      <c r="G19" s="46" t="n">
        <v>0.9399999999999999</v>
      </c>
      <c r="H19" s="43" t="inlineStr">
        <is>
          <t>Completed</t>
        </is>
      </c>
      <c r="I19" s="47" t="inlineStr">
        <is>
          <t>Green</t>
        </is>
      </c>
      <c r="J19" s="43" t="inlineStr">
        <is>
          <t>No</t>
        </is>
      </c>
      <c r="K19" s="44" t="inlineStr">
        <is>
          <t>TBD</t>
        </is>
      </c>
      <c r="L19" s="44" t="inlineStr">
        <is>
          <t>Inception report approved. Project on track.</t>
        </is>
      </c>
    </row>
    <row r="20" ht="24" customHeight="1" s="33">
      <c r="A20" s="37" t="inlineStr">
        <is>
          <t>IME-017</t>
        </is>
      </c>
      <c r="B20" s="38" t="inlineStr">
        <is>
          <t>Renewable Energy Communities Study</t>
        </is>
      </c>
      <c r="C20" s="37" t="inlineStr">
        <is>
          <t>BMWK</t>
        </is>
      </c>
      <c r="D20" s="39" t="n">
        <v>550000</v>
      </c>
      <c r="E20" s="39" t="n">
        <v>223000</v>
      </c>
      <c r="F20" s="40" t="n">
        <v>0.41</v>
      </c>
      <c r="G20" s="40" t="n">
        <v>0.59</v>
      </c>
      <c r="H20" s="37" t="inlineStr">
        <is>
          <t>On track</t>
        </is>
      </c>
      <c r="I20" s="48" t="inlineStr">
        <is>
          <t>Amber</t>
        </is>
      </c>
      <c r="J20" s="37" t="inlineStr">
        <is>
          <t>No</t>
        </is>
      </c>
      <c r="K20" s="38" t="inlineStr">
        <is>
          <t>Case study Sep 1</t>
        </is>
      </c>
      <c r="L20" s="38" t="inlineStr">
        <is>
          <t>Two deliverables converging in September. Deadline risk.</t>
        </is>
      </c>
    </row>
    <row r="21" ht="24" customHeight="1" s="33">
      <c r="A21" s="43" t="inlineStr">
        <is>
          <t>IME-018</t>
        </is>
      </c>
      <c r="B21" s="44" t="inlineStr">
        <is>
          <t>Building Decarbonisation Policy Brief</t>
        </is>
      </c>
      <c r="C21" s="43" t="inlineStr">
        <is>
          <t>EU LIFE</t>
        </is>
      </c>
      <c r="D21" s="45" t="n">
        <v>125000</v>
      </c>
      <c r="E21" s="45" t="n">
        <v>121000</v>
      </c>
      <c r="F21" s="46" t="n">
        <v>0.97</v>
      </c>
      <c r="G21" s="46" t="n">
        <v>0.57</v>
      </c>
      <c r="H21" s="43" t="inlineStr">
        <is>
          <t>On track</t>
        </is>
      </c>
      <c r="I21" s="41" t="inlineStr">
        <is>
          <t>Red</t>
        </is>
      </c>
      <c r="J21" s="49" t="inlineStr">
        <is>
          <t>Yes</t>
        </is>
      </c>
      <c r="K21" s="44" t="inlineStr">
        <is>
          <t>Policy brief Jul 15</t>
        </is>
      </c>
      <c r="L21" s="44" t="inlineStr">
        <is>
          <t>Budget overrun incurred. Sign-off needed for final editing costs.</t>
        </is>
      </c>
    </row>
    <row r="22" ht="24" customHeight="1" s="33">
      <c r="A22" s="37" t="inlineStr">
        <is>
          <t>IME-019</t>
        </is>
      </c>
      <c r="B22" s="38" t="inlineStr">
        <is>
          <t>Circular Economy Energy Materials</t>
        </is>
      </c>
      <c r="C22" s="37" t="inlineStr">
        <is>
          <t>BMUV</t>
        </is>
      </c>
      <c r="D22" s="39" t="n">
        <v>440000</v>
      </c>
      <c r="E22" s="39" t="n">
        <v>189000</v>
      </c>
      <c r="F22" s="40" t="n">
        <v>0.43</v>
      </c>
      <c r="G22" s="40" t="n">
        <v>0.76</v>
      </c>
      <c r="H22" s="37" t="inlineStr">
        <is>
          <t>On track</t>
        </is>
      </c>
      <c r="I22" s="47" t="inlineStr">
        <is>
          <t>Green</t>
        </is>
      </c>
      <c r="J22" s="37" t="inlineStr">
        <is>
          <t>No</t>
        </is>
      </c>
      <c r="K22" s="38" t="inlineStr">
        <is>
          <t>Pilot report Aug 30</t>
        </is>
      </c>
      <c r="L22" s="38" t="inlineStr">
        <is>
          <t>Strong industry engagement. On track.</t>
        </is>
      </c>
    </row>
    <row r="23" ht="24" customHeight="1" s="33">
      <c r="A23" s="43" t="inlineStr">
        <is>
          <t>IME-020</t>
        </is>
      </c>
      <c r="B23" s="44" t="inlineStr">
        <is>
          <t>Cross-Border Energy Transition Forum</t>
        </is>
      </c>
      <c r="C23" s="43" t="inlineStr">
        <is>
          <t>EU Interreg</t>
        </is>
      </c>
      <c r="D23" s="45" t="n">
        <v>285000</v>
      </c>
      <c r="E23" s="45" t="n">
        <v>68000</v>
      </c>
      <c r="F23" s="46" t="n">
        <v>0.24</v>
      </c>
      <c r="G23" s="46" t="n">
        <v>0.89</v>
      </c>
      <c r="H23" s="43" t="inlineStr">
        <is>
          <t>Completed</t>
        </is>
      </c>
      <c r="I23" s="47" t="inlineStr">
        <is>
          <t>Green</t>
        </is>
      </c>
      <c r="J23" s="43" t="inlineStr">
        <is>
          <t>No</t>
        </is>
      </c>
      <c r="K23" s="44" t="inlineStr">
        <is>
          <t>Forum Nov</t>
        </is>
      </c>
      <c r="L23" s="44" t="inlineStr">
        <is>
          <t>MOU completed early. On track.</t>
        </is>
      </c>
    </row>
    <row r="24" ht="24" customHeight="1" s="33">
      <c r="A24" s="37" t="inlineStr">
        <is>
          <t>IME-021</t>
        </is>
      </c>
      <c r="B24" s="38" t="inlineStr">
        <is>
          <t>Energy Storage Market Analysis</t>
        </is>
      </c>
      <c r="C24" s="37" t="inlineStr">
        <is>
          <t>BMWK</t>
        </is>
      </c>
      <c r="D24" s="39" t="n">
        <v>175000</v>
      </c>
      <c r="E24" s="39" t="n">
        <v>168000</v>
      </c>
      <c r="F24" s="40" t="n">
        <v>0.96</v>
      </c>
      <c r="G24" s="40" t="n">
        <v>0.85</v>
      </c>
      <c r="H24" s="37" t="inlineStr">
        <is>
          <t>Overdue</t>
        </is>
      </c>
      <c r="I24" s="41" t="inlineStr">
        <is>
          <t>Red</t>
        </is>
      </c>
      <c r="J24" s="42" t="inlineStr">
        <is>
          <t>Yes</t>
        </is>
      </c>
      <c r="K24" s="38" t="inlineStr">
        <is>
          <t>Revised submission</t>
        </is>
      </c>
      <c r="L24" s="38" t="inlineStr">
        <is>
          <t>URGENT: Scope expanded without budget. Risk of overrun AND late delivery.</t>
        </is>
      </c>
    </row>
    <row r="25" ht="24" customHeight="1" s="33">
      <c r="A25" s="43" t="inlineStr">
        <is>
          <t>IME-022</t>
        </is>
      </c>
      <c r="B25" s="44" t="inlineStr">
        <is>
          <t>Offshore Wind Value Chain Study</t>
        </is>
      </c>
      <c r="C25" s="43" t="inlineStr">
        <is>
          <t>KfW</t>
        </is>
      </c>
      <c r="D25" s="45" t="n">
        <v>490000</v>
      </c>
      <c r="E25" s="45" t="n">
        <v>201000</v>
      </c>
      <c r="F25" s="46" t="n">
        <v>0.41</v>
      </c>
      <c r="G25" s="46" t="n">
        <v>0.79</v>
      </c>
      <c r="H25" s="43" t="inlineStr">
        <is>
          <t>On track</t>
        </is>
      </c>
      <c r="I25" s="47" t="inlineStr">
        <is>
          <t>Green</t>
        </is>
      </c>
      <c r="J25" s="43" t="inlineStr">
        <is>
          <t>No</t>
        </is>
      </c>
      <c r="K25" s="44" t="inlineStr">
        <is>
          <t>Survey close Jul 31</t>
        </is>
      </c>
      <c r="L25" s="44" t="inlineStr">
        <is>
          <t>Survey response below target. Follow-up campaign active.</t>
        </is>
      </c>
    </row>
    <row r="26" ht="24" customHeight="1" s="33">
      <c r="A26" s="37" t="inlineStr">
        <is>
          <t>IME-023</t>
        </is>
      </c>
      <c r="B26" s="38" t="inlineStr">
        <is>
          <t>Climate-Neutral Industrial Parks</t>
        </is>
      </c>
      <c r="C26" s="37" t="inlineStr">
        <is>
          <t>EU Horizon</t>
        </is>
      </c>
      <c r="D26" s="39" t="n">
        <v>360000</v>
      </c>
      <c r="E26" s="39" t="n">
        <v>92000</v>
      </c>
      <c r="F26" s="40" t="n">
        <v>0.26</v>
      </c>
      <c r="G26" s="40" t="n">
        <v>0.9399999999999999</v>
      </c>
      <c r="H26" s="37" t="inlineStr">
        <is>
          <t>On track</t>
        </is>
      </c>
      <c r="I26" s="47" t="inlineStr">
        <is>
          <t>Green</t>
        </is>
      </c>
      <c r="J26" s="37" t="inlineStr">
        <is>
          <t>No</t>
        </is>
      </c>
      <c r="K26" s="38" t="inlineStr">
        <is>
          <t>Interim report Aug 15</t>
        </is>
      </c>
      <c r="L26" s="38" t="inlineStr">
        <is>
          <t>4/8 site visits complete. On track.</t>
        </is>
      </c>
    </row>
    <row r="27" ht="24" customHeight="1" s="33">
      <c r="A27" s="43" t="inlineStr">
        <is>
          <t>IME-024</t>
        </is>
      </c>
      <c r="B27" s="44" t="inlineStr">
        <is>
          <t>Urban Mobility Transition Plan</t>
        </is>
      </c>
      <c r="C27" s="43" t="inlineStr">
        <is>
          <t>BMDV</t>
        </is>
      </c>
      <c r="D27" s="45" t="n">
        <v>215000</v>
      </c>
      <c r="E27" s="45" t="n">
        <v>209000</v>
      </c>
      <c r="F27" s="46" t="n">
        <v>0.97</v>
      </c>
      <c r="G27" s="46" t="n">
        <v>0.89</v>
      </c>
      <c r="H27" s="43" t="inlineStr">
        <is>
          <t>On track</t>
        </is>
      </c>
      <c r="I27" s="48" t="inlineStr">
        <is>
          <t>Amber</t>
        </is>
      </c>
      <c r="J27" s="43" t="inlineStr">
        <is>
          <t>No</t>
        </is>
      </c>
      <c r="K27" s="44" t="inlineStr">
        <is>
          <t>Final deliverables Aug</t>
        </is>
      </c>
      <c r="L27" s="44" t="inlineStr">
        <is>
          <t>Budget tight (€6k). Manageable if no scope changes.</t>
        </is>
      </c>
    </row>
    <row r="28" ht="24" customHeight="1" s="33">
      <c r="A28" s="37" t="inlineStr">
        <is>
          <t>IME-025</t>
        </is>
      </c>
      <c r="B28" s="38" t="inlineStr">
        <is>
          <t>Biomass Energy Potential Study</t>
        </is>
      </c>
      <c r="C28" s="37" t="inlineStr">
        <is>
          <t>BMWK</t>
        </is>
      </c>
      <c r="D28" s="39" t="n">
        <v>520000</v>
      </c>
      <c r="E28" s="39" t="n">
        <v>145000</v>
      </c>
      <c r="F28" s="40" t="n">
        <v>0.28</v>
      </c>
      <c r="G28" s="40" t="n">
        <v>0.7</v>
      </c>
      <c r="H28" s="37" t="inlineStr">
        <is>
          <t>On track</t>
        </is>
      </c>
      <c r="I28" s="47" t="inlineStr">
        <is>
          <t>Green</t>
        </is>
      </c>
      <c r="J28" s="37" t="inlineStr">
        <is>
          <t>No</t>
        </is>
      </c>
      <c r="K28" s="38" t="inlineStr">
        <is>
          <t>Analysis Aug 1</t>
        </is>
      </c>
      <c r="L28" s="38" t="inlineStr">
        <is>
          <t>Data collection complete. Analysis phase starting.</t>
        </is>
      </c>
    </row>
    <row r="29" ht="19.5" customHeight="1" s="33">
      <c r="A29" s="50" t="inlineStr">
        <is>
          <t>PORTFOLIO TOTALS</t>
        </is>
      </c>
      <c r="B29" s="51" t="n"/>
      <c r="C29" s="51" t="n"/>
      <c r="D29" s="52">
        <f>SUM(D4:D28)</f>
        <v/>
      </c>
      <c r="E29" s="52">
        <f>'SOURCE 1 — SAP Finance'!G29</f>
        <v/>
      </c>
      <c r="F29" s="53">
        <f>E29/D29</f>
        <v/>
      </c>
      <c r="G29" s="54" t="n">
        <v>0.73</v>
      </c>
      <c r="H29" s="54" t="n"/>
      <c r="I29" s="54" t="n"/>
      <c r="J29" s="54" t="n"/>
      <c r="K29" s="54" t="n"/>
      <c r="L29" s="54" t="n"/>
    </row>
    <row r="31" ht="15" customHeight="1" s="33">
      <c r="A31" s="50" t="inlineStr">
        <is>
          <t>PORTFOLIO HEALTH SUMMARY</t>
        </is>
      </c>
      <c r="B31" s="51" t="n"/>
      <c r="C31" s="51" t="n"/>
    </row>
    <row r="32" ht="18" customHeight="1" s="33">
      <c r="A32" s="55" t="inlineStr">
        <is>
          <t>Total Projects</t>
        </is>
      </c>
      <c r="B32" s="51" t="n"/>
      <c r="C32" s="56" t="inlineStr">
        <is>
          <t>25</t>
        </is>
      </c>
    </row>
    <row r="33" ht="18" customHeight="1" s="33">
      <c r="A33" s="55" t="inlineStr">
        <is>
          <t>🟢 Green</t>
        </is>
      </c>
      <c r="B33" s="51" t="n"/>
      <c r="C33" s="56">
        <f>COUNTIF(I4:I28,"Green")</f>
        <v/>
      </c>
    </row>
    <row r="34" ht="18" customHeight="1" s="33">
      <c r="A34" s="55" t="inlineStr">
        <is>
          <t>🟡 Amber</t>
        </is>
      </c>
      <c r="B34" s="51" t="n"/>
      <c r="C34" s="56">
        <f>COUNTIF(I4:I28,"Amber")</f>
        <v/>
      </c>
    </row>
    <row r="35" ht="18" customHeight="1" s="33">
      <c r="A35" s="55" t="inlineStr">
        <is>
          <t>🔴 Red</t>
        </is>
      </c>
      <c r="B35" s="51" t="n"/>
      <c r="C35" s="56">
        <f>COUNTIF(I4:I28,"Red")</f>
        <v/>
      </c>
    </row>
    <row r="36" ht="18" customHeight="1" s="33">
      <c r="A36" s="55" t="inlineStr">
        <is>
          <t>Escalations Required</t>
        </is>
      </c>
      <c r="B36" s="51" t="n"/>
      <c r="C36" s="56">
        <f>COUNTIF(J4:J28,"Yes")</f>
        <v/>
      </c>
    </row>
    <row r="37" ht="18" customHeight="1" s="33">
      <c r="A37" s="55" t="inlineStr">
        <is>
          <t>Overdue Milestones</t>
        </is>
      </c>
      <c r="B37" s="51" t="n"/>
      <c r="C37" s="56" t="inlineStr">
        <is>
          <t>5</t>
        </is>
      </c>
    </row>
  </sheetData>
  <mergeCells count="10">
    <mergeCell ref="A2:L2"/>
    <mergeCell ref="A33:B33"/>
    <mergeCell ref="A31:C31"/>
    <mergeCell ref="A1:L1"/>
    <mergeCell ref="A37:B37"/>
    <mergeCell ref="A32:B32"/>
    <mergeCell ref="A36:B36"/>
    <mergeCell ref="A29:C29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14" customWidth="1" style="32" min="2" max="2"/>
    <col width="13" customWidth="1" style="32" min="3" max="3"/>
    <col width="18" customWidth="1" style="32" min="4" max="5"/>
    <col width="16" customWidth="1" style="32" min="6" max="6"/>
    <col width="18" customWidth="1" style="32" min="7" max="8"/>
    <col width="17" customWidth="1" style="32" min="9" max="9"/>
    <col width="10" customWidth="1" style="32" min="10" max="10"/>
  </cols>
  <sheetData>
    <row r="1" ht="27.75" customHeight="1" s="33">
      <c r="A1" s="34" t="inlineStr">
        <is>
          <t>SOURCE 1: SAP Finance Export — Budget &amp; Cost Data (Auto-Export, 1st of Month)</t>
        </is>
      </c>
    </row>
    <row r="2" ht="15.75" customHeight="1" s="33">
      <c r="A2" s="35" t="inlineStr">
        <is>
          <t>DO NOT EDIT — Raw system export. Division Controlling reads this sheet automatically.</t>
        </is>
      </c>
    </row>
    <row r="3" ht="36" customHeight="1" s="33">
      <c r="A3" s="57" t="inlineStr">
        <is>
          <t>Project ID</t>
        </is>
      </c>
      <c r="B3" s="57" t="inlineStr">
        <is>
          <t>Cost Centre</t>
        </is>
      </c>
      <c r="C3" s="57" t="inlineStr">
        <is>
          <t>Funder</t>
        </is>
      </c>
      <c r="D3" s="57" t="inlineStr">
        <is>
          <t>Contract Value (€)</t>
        </is>
      </c>
      <c r="E3" s="57" t="inlineStr">
        <is>
          <t>Approved Budget (€)</t>
        </is>
      </c>
      <c r="F3" s="57" t="inlineStr">
        <is>
          <t>Commitments (€)</t>
        </is>
      </c>
      <c r="G3" s="57" t="inlineStr">
        <is>
          <t>Actual Spend YTD (€)</t>
        </is>
      </c>
      <c r="H3" s="57" t="inlineStr">
        <is>
          <t>Forecast Full Year (€)</t>
        </is>
      </c>
      <c r="I3" s="57" t="inlineStr">
        <is>
          <t>Budget Remaining (€)</t>
        </is>
      </c>
      <c r="J3" s="57" t="inlineStr">
        <is>
          <t>Fiscal Year</t>
        </is>
      </c>
    </row>
    <row r="4" ht="18" customHeight="1" s="33">
      <c r="A4" s="37" t="inlineStr">
        <is>
          <t>IME-001</t>
        </is>
      </c>
      <c r="B4" s="37" t="n">
        <v>194452</v>
      </c>
      <c r="C4" s="38" t="inlineStr">
        <is>
          <t>BMWK</t>
        </is>
      </c>
      <c r="D4" s="39" t="n">
        <v>320000</v>
      </c>
      <c r="E4" s="39" t="n">
        <v>320000</v>
      </c>
      <c r="F4" s="39" t="n">
        <v>12000</v>
      </c>
      <c r="G4" s="39" t="n">
        <v>285000</v>
      </c>
      <c r="H4" s="39" t="n">
        <v>318000</v>
      </c>
      <c r="I4" s="39" t="n">
        <v>35000</v>
      </c>
      <c r="J4" s="37" t="n">
        <v>2026</v>
      </c>
    </row>
    <row r="5" ht="18" customHeight="1" s="33">
      <c r="A5" s="43" t="inlineStr">
        <is>
          <t>IME-002</t>
        </is>
      </c>
      <c r="B5" s="43" t="n">
        <v>271449</v>
      </c>
      <c r="C5" s="44" t="inlineStr">
        <is>
          <t>EU Horizon</t>
        </is>
      </c>
      <c r="D5" s="45" t="n">
        <v>540000</v>
      </c>
      <c r="E5" s="45" t="n">
        <v>540000</v>
      </c>
      <c r="F5" s="45" t="n">
        <v>45000</v>
      </c>
      <c r="G5" s="45" t="n">
        <v>198000</v>
      </c>
      <c r="H5" s="45" t="n">
        <v>410000</v>
      </c>
      <c r="I5" s="45" t="n">
        <v>342000</v>
      </c>
      <c r="J5" s="43" t="n">
        <v>2026</v>
      </c>
    </row>
    <row r="6" ht="18" customHeight="1" s="33">
      <c r="A6" s="37" t="inlineStr">
        <is>
          <t>IME-003</t>
        </is>
      </c>
      <c r="B6" s="37" t="n">
        <v>171327</v>
      </c>
      <c r="C6" s="38" t="inlineStr">
        <is>
          <t>BMWK</t>
        </is>
      </c>
      <c r="D6" s="39" t="n">
        <v>210000</v>
      </c>
      <c r="E6" s="39" t="n">
        <v>210000</v>
      </c>
      <c r="F6" s="39" t="n">
        <v>8000</v>
      </c>
      <c r="G6" s="39" t="n">
        <v>204000</v>
      </c>
      <c r="H6" s="39" t="n">
        <v>215000</v>
      </c>
      <c r="I6" s="39" t="n">
        <v>6000</v>
      </c>
      <c r="J6" s="37" t="n">
        <v>2026</v>
      </c>
    </row>
    <row r="7" ht="18" customHeight="1" s="33">
      <c r="A7" s="43" t="inlineStr">
        <is>
          <t>IME-004</t>
        </is>
      </c>
      <c r="B7" s="43" t="n">
        <v>192314</v>
      </c>
      <c r="C7" s="44" t="inlineStr">
        <is>
          <t>KfW</t>
        </is>
      </c>
      <c r="D7" s="45" t="n">
        <v>480000</v>
      </c>
      <c r="E7" s="45" t="n">
        <v>480000</v>
      </c>
      <c r="F7" s="45" t="n">
        <v>32000</v>
      </c>
      <c r="G7" s="45" t="n">
        <v>89000</v>
      </c>
      <c r="H7" s="45" t="n">
        <v>220000</v>
      </c>
      <c r="I7" s="45" t="n">
        <v>391000</v>
      </c>
      <c r="J7" s="43" t="n">
        <v>2026</v>
      </c>
    </row>
    <row r="8" ht="18" customHeight="1" s="33">
      <c r="A8" s="37" t="inlineStr">
        <is>
          <t>IME-005</t>
        </is>
      </c>
      <c r="B8" s="37" t="n">
        <v>53233</v>
      </c>
      <c r="C8" s="38" t="inlineStr">
        <is>
          <t>BMWK</t>
        </is>
      </c>
      <c r="D8" s="39" t="n">
        <v>95000</v>
      </c>
      <c r="E8" s="39" t="n">
        <v>95000</v>
      </c>
      <c r="F8" s="39" t="n">
        <v>3000</v>
      </c>
      <c r="G8" s="39" t="n">
        <v>91000</v>
      </c>
      <c r="H8" s="39" t="n">
        <v>96000</v>
      </c>
      <c r="I8" s="39" t="n">
        <v>4000</v>
      </c>
      <c r="J8" s="37" t="n">
        <v>2026</v>
      </c>
    </row>
    <row r="9" ht="18" customHeight="1" s="33">
      <c r="A9" s="43" t="inlineStr">
        <is>
          <t>IME-006</t>
        </is>
      </c>
      <c r="B9" s="43" t="n">
        <v>171946</v>
      </c>
      <c r="C9" s="44" t="inlineStr">
        <is>
          <t>BMDV</t>
        </is>
      </c>
      <c r="D9" s="45" t="n">
        <v>275000</v>
      </c>
      <c r="E9" s="45" t="n">
        <v>275000</v>
      </c>
      <c r="F9" s="45" t="n">
        <v>18000</v>
      </c>
      <c r="G9" s="45" t="n">
        <v>132000</v>
      </c>
      <c r="H9" s="45" t="n">
        <v>260000</v>
      </c>
      <c r="I9" s="45" t="n">
        <v>143000</v>
      </c>
      <c r="J9" s="43" t="n">
        <v>2026</v>
      </c>
    </row>
    <row r="10" ht="18" customHeight="1" s="33">
      <c r="A10" s="37" t="inlineStr">
        <is>
          <t>IME-007</t>
        </is>
      </c>
      <c r="B10" s="37" t="n">
        <v>131403</v>
      </c>
      <c r="C10" s="38" t="inlineStr">
        <is>
          <t>EU LIFE</t>
        </is>
      </c>
      <c r="D10" s="39" t="n">
        <v>185000</v>
      </c>
      <c r="E10" s="39" t="n">
        <v>185000</v>
      </c>
      <c r="F10" s="39" t="n">
        <v>5000</v>
      </c>
      <c r="G10" s="39" t="n">
        <v>192000</v>
      </c>
      <c r="H10" s="39" t="n">
        <v>196000</v>
      </c>
      <c r="I10" s="39" t="n">
        <v>-7000</v>
      </c>
      <c r="J10" s="37" t="n">
        <v>2026</v>
      </c>
    </row>
    <row r="11" ht="18" customHeight="1" s="33">
      <c r="A11" s="43" t="inlineStr">
        <is>
          <t>IME-008</t>
        </is>
      </c>
      <c r="B11" s="43" t="n">
        <v>85423</v>
      </c>
      <c r="C11" s="44" t="inlineStr">
        <is>
          <t>BMWK</t>
        </is>
      </c>
      <c r="D11" s="45" t="n">
        <v>390000</v>
      </c>
      <c r="E11" s="45" t="n">
        <v>390000</v>
      </c>
      <c r="F11" s="45" t="n">
        <v>28000</v>
      </c>
      <c r="G11" s="45" t="n">
        <v>54000</v>
      </c>
      <c r="H11" s="45" t="n">
        <v>180000</v>
      </c>
      <c r="I11" s="45" t="n">
        <v>336000</v>
      </c>
      <c r="J11" s="43" t="n">
        <v>2026</v>
      </c>
    </row>
    <row r="12" ht="18" customHeight="1" s="33">
      <c r="A12" s="37" t="inlineStr">
        <is>
          <t>IME-009</t>
        </is>
      </c>
      <c r="B12" s="37" t="n">
        <v>339922</v>
      </c>
      <c r="C12" s="38" t="inlineStr">
        <is>
          <t>BMUV</t>
        </is>
      </c>
      <c r="D12" s="39" t="n">
        <v>620000</v>
      </c>
      <c r="E12" s="39" t="n">
        <v>620000</v>
      </c>
      <c r="F12" s="39" t="n">
        <v>55000</v>
      </c>
      <c r="G12" s="39" t="n">
        <v>178000</v>
      </c>
      <c r="H12" s="39" t="n">
        <v>390000</v>
      </c>
      <c r="I12" s="39" t="n">
        <v>442000</v>
      </c>
      <c r="J12" s="37" t="n">
        <v>2026</v>
      </c>
    </row>
    <row r="13" ht="18" customHeight="1" s="33">
      <c r="A13" s="43" t="inlineStr">
        <is>
          <t>IME-010</t>
        </is>
      </c>
      <c r="B13" s="43" t="n">
        <v>305266</v>
      </c>
      <c r="C13" s="44" t="inlineStr">
        <is>
          <t>EU Interreg</t>
        </is>
      </c>
      <c r="D13" s="45" t="n">
        <v>310000</v>
      </c>
      <c r="E13" s="45" t="n">
        <v>310000</v>
      </c>
      <c r="F13" s="45" t="n">
        <v>22000</v>
      </c>
      <c r="G13" s="45" t="n">
        <v>98000</v>
      </c>
      <c r="H13" s="45" t="n">
        <v>210000</v>
      </c>
      <c r="I13" s="45" t="n">
        <v>212000</v>
      </c>
      <c r="J13" s="43" t="n">
        <v>2026</v>
      </c>
    </row>
    <row r="14" ht="18" customHeight="1" s="33">
      <c r="A14" s="37" t="inlineStr">
        <is>
          <t>IME-011</t>
        </is>
      </c>
      <c r="B14" s="37" t="n">
        <v>138211</v>
      </c>
      <c r="C14" s="38" t="inlineStr">
        <is>
          <t>BMWK</t>
        </is>
      </c>
      <c r="D14" s="39" t="n">
        <v>145000</v>
      </c>
      <c r="E14" s="39" t="n">
        <v>145000</v>
      </c>
      <c r="F14" s="39" t="n">
        <v>6000</v>
      </c>
      <c r="G14" s="39" t="n">
        <v>138000</v>
      </c>
      <c r="H14" s="39" t="n">
        <v>147000</v>
      </c>
      <c r="I14" s="39" t="n">
        <v>7000</v>
      </c>
      <c r="J14" s="37" t="n">
        <v>2026</v>
      </c>
    </row>
    <row r="15" ht="18" customHeight="1" s="33">
      <c r="A15" s="43" t="inlineStr">
        <is>
          <t>IME-012</t>
        </is>
      </c>
      <c r="B15" s="43" t="n">
        <v>144667</v>
      </c>
      <c r="C15" s="44" t="inlineStr">
        <is>
          <t>BMUV</t>
        </is>
      </c>
      <c r="D15" s="45" t="n">
        <v>260000</v>
      </c>
      <c r="E15" s="45" t="n">
        <v>260000</v>
      </c>
      <c r="F15" s="45" t="n">
        <v>19000</v>
      </c>
      <c r="G15" s="45" t="n">
        <v>72000</v>
      </c>
      <c r="H15" s="45" t="n">
        <v>180000</v>
      </c>
      <c r="I15" s="45" t="n">
        <v>188000</v>
      </c>
      <c r="J15" s="43" t="n">
        <v>2026</v>
      </c>
    </row>
    <row r="16" ht="18" customHeight="1" s="33">
      <c r="A16" s="37" t="inlineStr">
        <is>
          <t>IME-013</t>
        </is>
      </c>
      <c r="B16" s="37" t="n">
        <v>272404</v>
      </c>
      <c r="C16" s="38" t="inlineStr">
        <is>
          <t>EU Horizon</t>
        </is>
      </c>
      <c r="D16" s="39" t="n">
        <v>410000</v>
      </c>
      <c r="E16" s="39" t="n">
        <v>410000</v>
      </c>
      <c r="F16" s="39" t="n">
        <v>31000</v>
      </c>
      <c r="G16" s="39" t="n">
        <v>155000</v>
      </c>
      <c r="H16" s="39" t="n">
        <v>310000</v>
      </c>
      <c r="I16" s="39" t="n">
        <v>255000</v>
      </c>
      <c r="J16" s="37" t="n">
        <v>2026</v>
      </c>
    </row>
    <row r="17" ht="18" customHeight="1" s="33">
      <c r="A17" s="43" t="inlineStr">
        <is>
          <t>IME-014</t>
        </is>
      </c>
      <c r="B17" s="43" t="n">
        <v>152531</v>
      </c>
      <c r="C17" s="44" t="inlineStr">
        <is>
          <t>BMWK</t>
        </is>
      </c>
      <c r="D17" s="45" t="n">
        <v>78000</v>
      </c>
      <c r="E17" s="45" t="n">
        <v>78000</v>
      </c>
      <c r="F17" s="45" t="n">
        <v>2000</v>
      </c>
      <c r="G17" s="45" t="n">
        <v>77000</v>
      </c>
      <c r="H17" s="45" t="n">
        <v>80000</v>
      </c>
      <c r="I17" s="45" t="n">
        <v>1000</v>
      </c>
      <c r="J17" s="43" t="n">
        <v>2026</v>
      </c>
    </row>
    <row r="18" ht="18" customHeight="1" s="33">
      <c r="A18" s="37" t="inlineStr">
        <is>
          <t>IME-015</t>
        </is>
      </c>
      <c r="B18" s="37" t="n">
        <v>403025</v>
      </c>
      <c r="C18" s="38" t="inlineStr">
        <is>
          <t>KfW</t>
        </is>
      </c>
      <c r="D18" s="39" t="n">
        <v>330000</v>
      </c>
      <c r="E18" s="39" t="n">
        <v>330000</v>
      </c>
      <c r="F18" s="39" t="n">
        <v>24000</v>
      </c>
      <c r="G18" s="39" t="n">
        <v>118000</v>
      </c>
      <c r="H18" s="39" t="n">
        <v>270000</v>
      </c>
      <c r="I18" s="39" t="n">
        <v>212000</v>
      </c>
      <c r="J18" s="37" t="n">
        <v>2026</v>
      </c>
    </row>
    <row r="19" ht="18" customHeight="1" s="33">
      <c r="A19" s="43" t="inlineStr">
        <is>
          <t>IME-016</t>
        </is>
      </c>
      <c r="B19" s="43" t="n">
        <v>159923</v>
      </c>
      <c r="C19" s="44" t="inlineStr">
        <is>
          <t>BMDV</t>
        </is>
      </c>
      <c r="D19" s="45" t="n">
        <v>195000</v>
      </c>
      <c r="E19" s="45" t="n">
        <v>195000</v>
      </c>
      <c r="F19" s="45" t="n">
        <v>14000</v>
      </c>
      <c r="G19" s="45" t="n">
        <v>44000</v>
      </c>
      <c r="H19" s="45" t="n">
        <v>130000</v>
      </c>
      <c r="I19" s="45" t="n">
        <v>151000</v>
      </c>
      <c r="J19" s="43" t="n">
        <v>2026</v>
      </c>
    </row>
    <row r="20" ht="18" customHeight="1" s="33">
      <c r="A20" s="37" t="inlineStr">
        <is>
          <t>IME-017</t>
        </is>
      </c>
      <c r="B20" s="37" t="n">
        <v>192273</v>
      </c>
      <c r="C20" s="38" t="inlineStr">
        <is>
          <t>BMWK</t>
        </is>
      </c>
      <c r="D20" s="39" t="n">
        <v>550000</v>
      </c>
      <c r="E20" s="39" t="n">
        <v>550000</v>
      </c>
      <c r="F20" s="39" t="n">
        <v>41000</v>
      </c>
      <c r="G20" s="39" t="n">
        <v>223000</v>
      </c>
      <c r="H20" s="39" t="n">
        <v>480000</v>
      </c>
      <c r="I20" s="39" t="n">
        <v>327000</v>
      </c>
      <c r="J20" s="37" t="n">
        <v>2026</v>
      </c>
    </row>
    <row r="21" ht="18" customHeight="1" s="33">
      <c r="A21" s="43" t="inlineStr">
        <is>
          <t>IME-018</t>
        </is>
      </c>
      <c r="B21" s="43" t="n">
        <v>252725</v>
      </c>
      <c r="C21" s="44" t="inlineStr">
        <is>
          <t>EU LIFE</t>
        </is>
      </c>
      <c r="D21" s="45" t="n">
        <v>125000</v>
      </c>
      <c r="E21" s="45" t="n">
        <v>125000</v>
      </c>
      <c r="F21" s="45" t="n">
        <v>4000</v>
      </c>
      <c r="G21" s="45" t="n">
        <v>121000</v>
      </c>
      <c r="H21" s="45" t="n">
        <v>127000</v>
      </c>
      <c r="I21" s="45" t="n">
        <v>4000</v>
      </c>
      <c r="J21" s="43" t="n">
        <v>2026</v>
      </c>
    </row>
    <row r="22" ht="18" customHeight="1" s="33">
      <c r="A22" s="37" t="inlineStr">
        <is>
          <t>IME-019</t>
        </is>
      </c>
      <c r="B22" s="37" t="n">
        <v>50414</v>
      </c>
      <c r="C22" s="38" t="inlineStr">
        <is>
          <t>BMUV</t>
        </is>
      </c>
      <c r="D22" s="39" t="n">
        <v>440000</v>
      </c>
      <c r="E22" s="39" t="n">
        <v>440000</v>
      </c>
      <c r="F22" s="39" t="n">
        <v>33000</v>
      </c>
      <c r="G22" s="39" t="n">
        <v>189000</v>
      </c>
      <c r="H22" s="39" t="n">
        <v>360000</v>
      </c>
      <c r="I22" s="39" t="n">
        <v>251000</v>
      </c>
      <c r="J22" s="37" t="n">
        <v>2026</v>
      </c>
    </row>
    <row r="23" ht="18" customHeight="1" s="33">
      <c r="A23" s="43" t="inlineStr">
        <is>
          <t>IME-020</t>
        </is>
      </c>
      <c r="B23" s="43" t="n">
        <v>422117</v>
      </c>
      <c r="C23" s="44" t="inlineStr">
        <is>
          <t>EU Interreg</t>
        </is>
      </c>
      <c r="D23" s="45" t="n">
        <v>285000</v>
      </c>
      <c r="E23" s="45" t="n">
        <v>285000</v>
      </c>
      <c r="F23" s="45" t="n">
        <v>20000</v>
      </c>
      <c r="G23" s="45" t="n">
        <v>68000</v>
      </c>
      <c r="H23" s="45" t="n">
        <v>190000</v>
      </c>
      <c r="I23" s="45" t="n">
        <v>217000</v>
      </c>
      <c r="J23" s="43" t="n">
        <v>2026</v>
      </c>
    </row>
    <row r="24" ht="18" customHeight="1" s="33">
      <c r="A24" s="37" t="inlineStr">
        <is>
          <t>IME-021</t>
        </is>
      </c>
      <c r="B24" s="37" t="n">
        <v>173559</v>
      </c>
      <c r="C24" s="38" t="inlineStr">
        <is>
          <t>BMWK</t>
        </is>
      </c>
      <c r="D24" s="39" t="n">
        <v>175000</v>
      </c>
      <c r="E24" s="39" t="n">
        <v>175000</v>
      </c>
      <c r="F24" s="39" t="n">
        <v>9000</v>
      </c>
      <c r="G24" s="39" t="n">
        <v>168000</v>
      </c>
      <c r="H24" s="39" t="n">
        <v>178000</v>
      </c>
      <c r="I24" s="39" t="n">
        <v>7000</v>
      </c>
      <c r="J24" s="37" t="n">
        <v>2026</v>
      </c>
    </row>
    <row r="25" ht="18" customHeight="1" s="33">
      <c r="A25" s="43" t="inlineStr">
        <is>
          <t>IME-022</t>
        </is>
      </c>
      <c r="B25" s="43" t="n">
        <v>172692</v>
      </c>
      <c r="C25" s="44" t="inlineStr">
        <is>
          <t>KfW</t>
        </is>
      </c>
      <c r="D25" s="45" t="n">
        <v>490000</v>
      </c>
      <c r="E25" s="45" t="n">
        <v>490000</v>
      </c>
      <c r="F25" s="45" t="n">
        <v>38000</v>
      </c>
      <c r="G25" s="45" t="n">
        <v>201000</v>
      </c>
      <c r="H25" s="45" t="n">
        <v>420000</v>
      </c>
      <c r="I25" s="45" t="n">
        <v>289000</v>
      </c>
      <c r="J25" s="43" t="n">
        <v>2026</v>
      </c>
    </row>
    <row r="26" ht="18" customHeight="1" s="33">
      <c r="A26" s="37" t="inlineStr">
        <is>
          <t>IME-023</t>
        </is>
      </c>
      <c r="B26" s="37" t="n">
        <v>109566</v>
      </c>
      <c r="C26" s="38" t="inlineStr">
        <is>
          <t>EU Horizon</t>
        </is>
      </c>
      <c r="D26" s="39" t="n">
        <v>360000</v>
      </c>
      <c r="E26" s="39" t="n">
        <v>360000</v>
      </c>
      <c r="F26" s="39" t="n">
        <v>27000</v>
      </c>
      <c r="G26" s="39" t="n">
        <v>92000</v>
      </c>
      <c r="H26" s="39" t="n">
        <v>240000</v>
      </c>
      <c r="I26" s="39" t="n">
        <v>268000</v>
      </c>
      <c r="J26" s="37" t="n">
        <v>2026</v>
      </c>
    </row>
    <row r="27" ht="18" customHeight="1" s="33">
      <c r="A27" s="43" t="inlineStr">
        <is>
          <t>IME-024</t>
        </is>
      </c>
      <c r="B27" s="43" t="n">
        <v>257768</v>
      </c>
      <c r="C27" s="44" t="inlineStr">
        <is>
          <t>BMDV</t>
        </is>
      </c>
      <c r="D27" s="45" t="n">
        <v>215000</v>
      </c>
      <c r="E27" s="45" t="n">
        <v>215000</v>
      </c>
      <c r="F27" s="45" t="n">
        <v>15000</v>
      </c>
      <c r="G27" s="45" t="n">
        <v>209000</v>
      </c>
      <c r="H27" s="45" t="n">
        <v>218000</v>
      </c>
      <c r="I27" s="45" t="n">
        <v>6000</v>
      </c>
      <c r="J27" s="43" t="n">
        <v>2026</v>
      </c>
    </row>
    <row r="28" ht="18" customHeight="1" s="33">
      <c r="A28" s="37" t="inlineStr">
        <is>
          <t>IME-025</t>
        </is>
      </c>
      <c r="B28" s="37" t="n">
        <v>268587</v>
      </c>
      <c r="C28" s="38" t="inlineStr">
        <is>
          <t>BMWK</t>
        </is>
      </c>
      <c r="D28" s="39" t="n">
        <v>520000</v>
      </c>
      <c r="E28" s="39" t="n">
        <v>520000</v>
      </c>
      <c r="F28" s="39" t="n">
        <v>42000</v>
      </c>
      <c r="G28" s="39" t="n">
        <v>145000</v>
      </c>
      <c r="H28" s="39" t="n">
        <v>380000</v>
      </c>
      <c r="I28" s="39" t="n">
        <v>375000</v>
      </c>
      <c r="J28" s="37" t="n">
        <v>2026</v>
      </c>
    </row>
    <row r="29">
      <c r="B29" s="32" t="n">
        <v>372507</v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36" customWidth="1" style="32" min="2" max="2"/>
    <col width="20" customWidth="1" style="32" min="3" max="3"/>
    <col width="14" customWidth="1" style="32" min="4" max="4"/>
    <col width="36" customWidth="1" style="32" min="5" max="6"/>
    <col width="12" customWidth="1" style="32" min="7" max="7"/>
    <col width="50" customWidth="1" style="32" min="8" max="8"/>
  </cols>
  <sheetData>
    <row r="1" ht="27.75" customHeight="1" s="33">
      <c r="A1" s="34" t="inlineStr">
        <is>
          <t>SOURCE 2: Project Lead Monthly Status Input — June 2026</t>
        </is>
      </c>
    </row>
    <row r="2" ht="15.75" customHeight="1" s="33">
      <c r="A2" s="35" t="inlineStr">
        <is>
          <t>Yellow cells to be completed by Project Leads by 1st of each month. Do NOT modify grey columns.</t>
        </is>
      </c>
    </row>
    <row r="3" ht="39.75" customHeight="1" s="33">
      <c r="A3" s="57" t="inlineStr">
        <is>
          <t>Project ID</t>
        </is>
      </c>
      <c r="B3" s="57" t="inlineStr">
        <is>
          <t>Project Name</t>
        </is>
      </c>
      <c r="C3" s="57" t="inlineStr">
        <is>
          <t>Project Lead</t>
        </is>
      </c>
      <c r="D3" s="57" t="inlineStr">
        <is>
          <t>Overall Status
(Green/Amber/Red)</t>
        </is>
      </c>
      <c r="E3" s="57" t="inlineStr">
        <is>
          <t>Key Achievement This Month</t>
        </is>
      </c>
      <c r="F3" s="57" t="inlineStr">
        <is>
          <t>Main Risk / Issue</t>
        </is>
      </c>
      <c r="G3" s="57" t="inlineStr">
        <is>
          <t>Escalation Needed?
(Yes/No)</t>
        </is>
      </c>
      <c r="H3" s="57" t="inlineStr">
        <is>
          <t>Free Text Update</t>
        </is>
      </c>
    </row>
    <row r="4" ht="30" customHeight="1" s="33">
      <c r="A4" s="38" t="inlineStr">
        <is>
          <t>IME-001</t>
        </is>
      </c>
      <c r="B4" s="38" t="inlineStr">
        <is>
          <t>Industrial Energy Efficiency Programme</t>
        </is>
      </c>
      <c r="C4" s="38" t="inlineStr">
        <is>
          <t>Dr. A. Müller</t>
        </is>
      </c>
      <c r="D4" s="58" t="inlineStr">
        <is>
          <t>Red</t>
        </is>
      </c>
      <c r="E4" s="59" t="inlineStr">
        <is>
          <t>Final report 80% complete</t>
        </is>
      </c>
      <c r="F4" s="59" t="inlineStr">
        <is>
          <t>Budget nearly exhausted, extension request pending</t>
        </is>
      </c>
      <c r="G4" s="59" t="inlineStr">
        <is>
          <t>Yes</t>
        </is>
      </c>
      <c r="H4" s="59" t="inlineStr">
        <is>
          <t>Urgent: need approval for 2-month no-cost extension from BMWK before June 30.</t>
        </is>
      </c>
    </row>
    <row r="5" ht="30" customHeight="1" s="33">
      <c r="A5" s="44" t="inlineStr">
        <is>
          <t>IME-002</t>
        </is>
      </c>
      <c r="B5" s="44" t="inlineStr">
        <is>
          <t>Hydrogen Readiness SME Network</t>
        </is>
      </c>
      <c r="C5" s="44" t="inlineStr">
        <is>
          <t>Ms. B. Weber</t>
        </is>
      </c>
      <c r="D5" s="60" t="inlineStr">
        <is>
          <t>Green</t>
        </is>
      </c>
      <c r="E5" s="59" t="inlineStr">
        <is>
          <t>30 new SME partners onboarded</t>
        </is>
      </c>
      <c r="F5" s="59" t="inlineStr">
        <is>
          <t>None significant</t>
        </is>
      </c>
      <c r="G5" s="59" t="inlineStr">
        <is>
          <t>No</t>
        </is>
      </c>
      <c r="H5" s="59" t="inlineStr">
        <is>
          <t>Workshop #2 preparation on track. Partner engagement exceeds KPI targets.</t>
        </is>
      </c>
    </row>
    <row r="6" ht="30" customHeight="1" s="33">
      <c r="A6" s="38" t="inlineStr">
        <is>
          <t>IME-003</t>
        </is>
      </c>
      <c r="B6" s="38" t="inlineStr">
        <is>
          <t>Mobility Transition NRW — Phase II</t>
        </is>
      </c>
      <c r="C6" s="38" t="inlineStr">
        <is>
          <t>Mr. C. Schmidt</t>
        </is>
      </c>
      <c r="D6" s="61" t="inlineStr">
        <is>
          <t>Amber</t>
        </is>
      </c>
      <c r="E6" s="59" t="inlineStr">
        <is>
          <t>Interim evaluation submitted</t>
        </is>
      </c>
      <c r="F6" s="59" t="inlineStr">
        <is>
          <t>Budget overrun likely by Q3</t>
        </is>
      </c>
      <c r="G6" s="59" t="inlineStr">
        <is>
          <t>No</t>
        </is>
      </c>
      <c r="H6" s="59" t="inlineStr">
        <is>
          <t>Cost overrun of ~€6k projected. Requesting reallocation from travel budget.</t>
        </is>
      </c>
    </row>
    <row r="7" ht="30" customHeight="1" s="33">
      <c r="A7" s="44" t="inlineStr">
        <is>
          <t>IME-004</t>
        </is>
      </c>
      <c r="B7" s="44" t="inlineStr">
        <is>
          <t>Building Renovation Accelerator</t>
        </is>
      </c>
      <c r="C7" s="44" t="inlineStr">
        <is>
          <t>Ms. D. Fischer</t>
        </is>
      </c>
      <c r="D7" s="60" t="inlineStr">
        <is>
          <t>Green</t>
        </is>
      </c>
      <c r="E7" s="59" t="inlineStr">
        <is>
          <t>Pilot site selection shortlist ready</t>
        </is>
      </c>
      <c r="F7" s="59" t="inlineStr">
        <is>
          <t>Stakeholder alignment slower than planned</t>
        </is>
      </c>
      <c r="G7" s="59" t="inlineStr">
        <is>
          <t>No</t>
        </is>
      </c>
      <c r="H7" s="59" t="inlineStr">
        <is>
          <t>3 pilot sites confirmed. 2 more in negotiation. On track for August milestone.</t>
        </is>
      </c>
    </row>
    <row r="8" ht="30" customHeight="1" s="33">
      <c r="A8" s="38" t="inlineStr">
        <is>
          <t>IME-005</t>
        </is>
      </c>
      <c r="B8" s="38" t="inlineStr">
        <is>
          <t>Industrial Heat Pump Market Study</t>
        </is>
      </c>
      <c r="C8" s="38" t="inlineStr">
        <is>
          <t>Dr. E. Klein</t>
        </is>
      </c>
      <c r="D8" s="61" t="inlineStr">
        <is>
          <t>Amber</t>
        </is>
      </c>
      <c r="E8" s="59" t="inlineStr">
        <is>
          <t>Draft publication reviewed</t>
        </is>
      </c>
      <c r="F8" s="59" t="inlineStr">
        <is>
          <t>Minor budget overrun (€1k)</t>
        </is>
      </c>
      <c r="G8" s="59" t="inlineStr">
        <is>
          <t>No</t>
        </is>
      </c>
      <c r="H8" s="59" t="inlineStr">
        <is>
          <t>Final publication delayed by 3 weeks due to external review feedback.</t>
        </is>
      </c>
    </row>
    <row r="9" ht="30" customHeight="1" s="33">
      <c r="A9" s="44" t="inlineStr">
        <is>
          <t>IME-006</t>
        </is>
      </c>
      <c r="B9" s="44" t="inlineStr">
        <is>
          <t>EV Fleet Transition — Public Sector</t>
        </is>
      </c>
      <c r="C9" s="44" t="inlineStr">
        <is>
          <t>Mr. F. Bauer</t>
        </is>
      </c>
      <c r="D9" s="60" t="inlineStr">
        <is>
          <t>Green</t>
        </is>
      </c>
      <c r="E9" s="59" t="inlineStr">
        <is>
          <t>Mid-term review meeting scheduled</t>
        </is>
      </c>
      <c r="F9" s="59" t="inlineStr">
        <is>
          <t>None</t>
        </is>
      </c>
      <c r="G9" s="59" t="inlineStr">
        <is>
          <t>No</t>
        </is>
      </c>
      <c r="H9" s="59" t="inlineStr">
        <is>
          <t>Strong municipal partner engagement. Mid-term stakeholder review confirmed July 30.</t>
        </is>
      </c>
    </row>
    <row r="10" ht="30" customHeight="1" s="33">
      <c r="A10" s="38" t="inlineStr">
        <is>
          <t>IME-007</t>
        </is>
      </c>
      <c r="B10" s="38" t="inlineStr">
        <is>
          <t>Energy Audit Digital Platform</t>
        </is>
      </c>
      <c r="C10" s="38" t="inlineStr">
        <is>
          <t>Ms. G. Hoffmann</t>
        </is>
      </c>
      <c r="D10" s="58" t="inlineStr">
        <is>
          <t>Red</t>
        </is>
      </c>
      <c r="E10" s="59" t="inlineStr">
        <is>
          <t>Platform 90% complete</t>
        </is>
      </c>
      <c r="F10" s="59" t="inlineStr">
        <is>
          <t>Go-live delayed — IT integration issues</t>
        </is>
      </c>
      <c r="G10" s="59" t="inlineStr">
        <is>
          <t>Yes</t>
        </is>
      </c>
      <c r="H10" s="59" t="inlineStr">
        <is>
          <t>Critical: API integration with third-party system failing. IT vendor unresponsive. Need escalation to management.</t>
        </is>
      </c>
    </row>
    <row r="11" ht="30" customHeight="1" s="33">
      <c r="A11" s="44" t="inlineStr">
        <is>
          <t>IME-008</t>
        </is>
      </c>
      <c r="B11" s="44" t="inlineStr">
        <is>
          <t>Carbon Neutrality Roadmap — Chemical Sector</t>
        </is>
      </c>
      <c r="C11" s="44" t="inlineStr">
        <is>
          <t>Dr. H. Braun</t>
        </is>
      </c>
      <c r="D11" s="60" t="inlineStr">
        <is>
          <t>Green</t>
        </is>
      </c>
      <c r="E11" s="59" t="inlineStr">
        <is>
          <t>Advisory board members confirmed</t>
        </is>
      </c>
      <c r="F11" s="59" t="inlineStr">
        <is>
          <t>None</t>
        </is>
      </c>
      <c r="G11" s="59" t="inlineStr">
        <is>
          <t>No</t>
        </is>
      </c>
      <c r="H11" s="59" t="inlineStr">
        <is>
          <t>6 of 8 board members confirmed. Kick-off meeting planned for July 15.</t>
        </is>
      </c>
    </row>
    <row r="12" ht="30" customHeight="1" s="33">
      <c r="A12" s="38" t="inlineStr">
        <is>
          <t>IME-009</t>
        </is>
      </c>
      <c r="B12" s="38" t="inlineStr">
        <is>
          <t>District Heating Transition — East Germany</t>
        </is>
      </c>
      <c r="C12" s="38" t="inlineStr">
        <is>
          <t>Mr. I. Richter</t>
        </is>
      </c>
      <c r="D12" s="60" t="inlineStr">
        <is>
          <t>Green</t>
        </is>
      </c>
      <c r="E12" s="59" t="inlineStr">
        <is>
          <t>3 municipal MOUs signed</t>
        </is>
      </c>
      <c r="F12" s="59" t="inlineStr">
        <is>
          <t>Legal review slower than expected</t>
        </is>
      </c>
      <c r="G12" s="59" t="inlineStr">
        <is>
          <t>No</t>
        </is>
      </c>
      <c r="H12" s="59" t="inlineStr">
        <is>
          <t>Strong progress on partner agreements. Legal team backlog causing 2-week delay.</t>
        </is>
      </c>
    </row>
    <row r="13" ht="30" customHeight="1" s="33">
      <c r="A13" s="44" t="inlineStr">
        <is>
          <t>IME-010</t>
        </is>
      </c>
      <c r="B13" s="44" t="inlineStr">
        <is>
          <t>Smart Industry Energy Monitoring Pilot</t>
        </is>
      </c>
      <c r="C13" s="44" t="inlineStr">
        <is>
          <t>Ms. J. Lange</t>
        </is>
      </c>
      <c r="D13" s="61" t="inlineStr">
        <is>
          <t>Amber</t>
        </is>
      </c>
      <c r="E13" s="59" t="inlineStr">
        <is>
          <t>Data framework draft complete</t>
        </is>
      </c>
      <c r="F13" s="59" t="inlineStr">
        <is>
          <t>Partner data sharing agreements delayed</t>
        </is>
      </c>
      <c r="G13" s="59" t="inlineStr">
        <is>
          <t>No</t>
        </is>
      </c>
      <c r="H13" s="59" t="inlineStr">
        <is>
          <t>2 of 5 partner agreements signed. Remaining 3 in legal review. Risk to July milestone.</t>
        </is>
      </c>
    </row>
    <row r="14" ht="30" customHeight="1" s="33">
      <c r="A14" s="38" t="inlineStr">
        <is>
          <t>IME-011</t>
        </is>
      </c>
      <c r="B14" s="38" t="inlineStr">
        <is>
          <t>Energy Efficiency Audit SME Programme</t>
        </is>
      </c>
      <c r="C14" s="38" t="inlineStr">
        <is>
          <t>Mr. K. Wolf</t>
        </is>
      </c>
      <c r="D14" s="58" t="inlineStr">
        <is>
          <t>Red</t>
        </is>
      </c>
      <c r="E14" s="59" t="inlineStr">
        <is>
          <t>Q2 audit report submitted</t>
        </is>
      </c>
      <c r="F14" s="59" t="inlineStr">
        <is>
          <t>Budget critically low — project at risk</t>
        </is>
      </c>
      <c r="G14" s="59" t="inlineStr">
        <is>
          <t>Yes</t>
        </is>
      </c>
      <c r="H14" s="59" t="inlineStr">
        <is>
          <t>Only €7k remaining. 3 planned audits still outstanding. Need emergency budget review.</t>
        </is>
      </c>
    </row>
    <row r="15" ht="30" customHeight="1" s="33">
      <c r="A15" s="44" t="inlineStr">
        <is>
          <t>IME-012</t>
        </is>
      </c>
      <c r="B15" s="44" t="inlineStr">
        <is>
          <t>Green Hydrogen Production Study</t>
        </is>
      </c>
      <c r="C15" s="44" t="inlineStr">
        <is>
          <t>Ms. L. Braun</t>
        </is>
      </c>
      <c r="D15" s="60" t="inlineStr">
        <is>
          <t>Green</t>
        </is>
      </c>
      <c r="E15" s="59" t="inlineStr">
        <is>
          <t>Literature review complete</t>
        </is>
      </c>
      <c r="F15" s="59" t="inlineStr">
        <is>
          <t>None</t>
        </is>
      </c>
      <c r="G15" s="59" t="inlineStr">
        <is>
          <t>No</t>
        </is>
      </c>
      <c r="H15" s="59" t="inlineStr">
        <is>
          <t>On track. First expert interviews scheduled for July.</t>
        </is>
      </c>
    </row>
    <row r="16" ht="30" customHeight="1" s="33">
      <c r="A16" s="38" t="inlineStr">
        <is>
          <t>IME-013</t>
        </is>
      </c>
      <c r="B16" s="38" t="inlineStr">
        <is>
          <t>Sector Coupling Innovation Network</t>
        </is>
      </c>
      <c r="C16" s="38" t="inlineStr">
        <is>
          <t>Dr. M. Koch</t>
        </is>
      </c>
      <c r="D16" s="60" t="inlineStr">
        <is>
          <t>Green</t>
        </is>
      </c>
      <c r="E16" s="59" t="inlineStr">
        <is>
          <t>Annual conference planned</t>
        </is>
      </c>
      <c r="F16" s="59" t="inlineStr">
        <is>
          <t>Venue confirmation pending</t>
        </is>
      </c>
      <c r="G16" s="59" t="inlineStr">
        <is>
          <t>No</t>
        </is>
      </c>
      <c r="H16" s="59" t="inlineStr">
        <is>
          <t>Programme committee established. Speaker confirmations ongoing.</t>
        </is>
      </c>
    </row>
    <row r="17" ht="30" customHeight="1" s="33">
      <c r="A17" s="44" t="inlineStr">
        <is>
          <t>IME-014</t>
        </is>
      </c>
      <c r="B17" s="44" t="inlineStr">
        <is>
          <t>Low-Carbon Transport Feasibility</t>
        </is>
      </c>
      <c r="C17" s="44" t="inlineStr">
        <is>
          <t>Mr. N. Becker</t>
        </is>
      </c>
      <c r="D17" s="61" t="inlineStr">
        <is>
          <t>Amber</t>
        </is>
      </c>
      <c r="E17" s="59" t="inlineStr">
        <is>
          <t>Stakeholder mapping complete</t>
        </is>
      </c>
      <c r="F17" s="59" t="inlineStr">
        <is>
          <t>Budget nearly consumed</t>
        </is>
      </c>
      <c r="G17" s="59" t="inlineStr">
        <is>
          <t>No</t>
        </is>
      </c>
      <c r="H17" s="59" t="inlineStr">
        <is>
          <t>Only €1k remaining. Final report is the last deliverable — should be sufficient.</t>
        </is>
      </c>
    </row>
    <row r="18" ht="30" customHeight="1" s="33">
      <c r="A18" s="38" t="inlineStr">
        <is>
          <t>IME-015</t>
        </is>
      </c>
      <c r="B18" s="38" t="inlineStr">
        <is>
          <t>Smart Grid Pilot — Rural Areas</t>
        </is>
      </c>
      <c r="C18" s="38" t="inlineStr">
        <is>
          <t>Ms. O. Schäfer</t>
        </is>
      </c>
      <c r="D18" s="60" t="inlineStr">
        <is>
          <t>Green</t>
        </is>
      </c>
      <c r="E18" s="59" t="inlineStr">
        <is>
          <t>Technical partner MOU signed</t>
        </is>
      </c>
      <c r="F18" s="59" t="inlineStr">
        <is>
          <t>None</t>
        </is>
      </c>
      <c r="G18" s="59" t="inlineStr">
        <is>
          <t>No</t>
        </is>
      </c>
      <c r="H18" s="59" t="inlineStr">
        <is>
          <t>Grid operator partnership confirmed. Field measurements starting August.</t>
        </is>
      </c>
    </row>
    <row r="19" ht="30" customHeight="1" s="33">
      <c r="A19" s="44" t="inlineStr">
        <is>
          <t>IME-016</t>
        </is>
      </c>
      <c r="B19" s="44" t="inlineStr">
        <is>
          <t>Industrial Decarbonisation Roadmap</t>
        </is>
      </c>
      <c r="C19" s="44" t="inlineStr">
        <is>
          <t>Mr. P. Wagner</t>
        </is>
      </c>
      <c r="D19" s="60" t="inlineStr">
        <is>
          <t>Green</t>
        </is>
      </c>
      <c r="E19" s="59" t="inlineStr">
        <is>
          <t>Inception report approved</t>
        </is>
      </c>
      <c r="F19" s="59" t="inlineStr">
        <is>
          <t>None</t>
        </is>
      </c>
      <c r="G19" s="59" t="inlineStr">
        <is>
          <t>No</t>
        </is>
      </c>
      <c r="H19" s="59" t="inlineStr">
        <is>
          <t>Project formally started. Team fully onboarded.</t>
        </is>
      </c>
    </row>
    <row r="20" ht="30" customHeight="1" s="33">
      <c r="A20" s="38" t="inlineStr">
        <is>
          <t>IME-017</t>
        </is>
      </c>
      <c r="B20" s="38" t="inlineStr">
        <is>
          <t>Renewable Energy Communities Study</t>
        </is>
      </c>
      <c r="C20" s="38" t="inlineStr">
        <is>
          <t>Dr. Q. Zimmermann</t>
        </is>
      </c>
      <c r="D20" s="61" t="inlineStr">
        <is>
          <t>Amber</t>
        </is>
      </c>
      <c r="E20" s="59" t="inlineStr">
        <is>
          <t>Case study selection complete</t>
        </is>
      </c>
      <c r="F20" s="59" t="inlineStr">
        <is>
          <t>Funder reporting deadline conflict</t>
        </is>
      </c>
      <c r="G20" s="59" t="inlineStr">
        <is>
          <t>No</t>
        </is>
      </c>
      <c r="H20" s="59" t="inlineStr">
        <is>
          <t>Two deliverables due same week in September. Requesting deadline adjustment from BMWK.</t>
        </is>
      </c>
    </row>
    <row r="21" ht="30" customHeight="1" s="33">
      <c r="A21" s="44" t="inlineStr">
        <is>
          <t>IME-018</t>
        </is>
      </c>
      <c r="B21" s="44" t="inlineStr">
        <is>
          <t>Building Decarbonisation Policy Brief</t>
        </is>
      </c>
      <c r="C21" s="44" t="inlineStr">
        <is>
          <t>Ms. R. Neumann</t>
        </is>
      </c>
      <c r="D21" s="58" t="inlineStr">
        <is>
          <t>Red</t>
        </is>
      </c>
      <c r="E21" s="59" t="inlineStr">
        <is>
          <t>Policy brief 95% complete</t>
        </is>
      </c>
      <c r="F21" s="59" t="inlineStr">
        <is>
          <t>Budget exhausted</t>
        </is>
      </c>
      <c r="G21" s="59" t="inlineStr">
        <is>
          <t>Yes</t>
        </is>
      </c>
      <c r="H21" s="59" t="inlineStr">
        <is>
          <t>€4k overrun already incurred. Final editing and translation costs exceed budget. Need sign-off.</t>
        </is>
      </c>
    </row>
    <row r="22" ht="30" customHeight="1" s="33">
      <c r="A22" s="38" t="inlineStr">
        <is>
          <t>IME-019</t>
        </is>
      </c>
      <c r="B22" s="38" t="inlineStr">
        <is>
          <t>Circular Economy Energy Materials</t>
        </is>
      </c>
      <c r="C22" s="38" t="inlineStr">
        <is>
          <t>Mr. S. Schwarz</t>
        </is>
      </c>
      <c r="D22" s="60" t="inlineStr">
        <is>
          <t>Green</t>
        </is>
      </c>
      <c r="E22" s="59" t="inlineStr">
        <is>
          <t>Supply chain mapping complete</t>
        </is>
      </c>
      <c r="F22" s="59" t="inlineStr">
        <is>
          <t>None</t>
        </is>
      </c>
      <c r="G22" s="59" t="inlineStr">
        <is>
          <t>No</t>
        </is>
      </c>
      <c r="H22" s="59" t="inlineStr">
        <is>
          <t>Strong industry engagement. 12 companies participating in pilot phase.</t>
        </is>
      </c>
    </row>
    <row r="23" ht="30" customHeight="1" s="33">
      <c r="A23" s="44" t="inlineStr">
        <is>
          <t>IME-020</t>
        </is>
      </c>
      <c r="B23" s="44" t="inlineStr">
        <is>
          <t>Cross-Border Energy Transition Forum</t>
        </is>
      </c>
      <c r="C23" s="44" t="inlineStr">
        <is>
          <t>Ms. T. Schulz</t>
        </is>
      </c>
      <c r="D23" s="60" t="inlineStr">
        <is>
          <t>Green</t>
        </is>
      </c>
      <c r="E23" s="59" t="inlineStr">
        <is>
          <t>Partner country confirmed</t>
        </is>
      </c>
      <c r="F23" s="59" t="inlineStr">
        <is>
          <t>None</t>
        </is>
      </c>
      <c r="G23" s="59" t="inlineStr">
        <is>
          <t>No</t>
        </is>
      </c>
      <c r="H23" s="59" t="inlineStr">
        <is>
          <t>Poland and Czech Republic confirmed as partner countries. Forum date set for November.</t>
        </is>
      </c>
    </row>
    <row r="24" ht="30" customHeight="1" s="33">
      <c r="A24" s="38" t="inlineStr">
        <is>
          <t>IME-021</t>
        </is>
      </c>
      <c r="B24" s="38" t="inlineStr">
        <is>
          <t>Energy Storage Market Analysis</t>
        </is>
      </c>
      <c r="C24" s="38" t="inlineStr">
        <is>
          <t>Dr. U. Krause</t>
        </is>
      </c>
      <c r="D24" s="58" t="inlineStr">
        <is>
          <t>Red</t>
        </is>
      </c>
      <c r="E24" s="59" t="inlineStr">
        <is>
          <t>Draft analysis 70% complete</t>
        </is>
      </c>
      <c r="F24" s="59" t="inlineStr">
        <is>
          <t>Budget overrun and deadline risk</t>
        </is>
      </c>
      <c r="G24" s="59" t="inlineStr">
        <is>
          <t>Yes</t>
        </is>
      </c>
      <c r="H24" s="59" t="inlineStr">
        <is>
          <t>Scope expanded by funder without budget increase. Risk of both overrun and late delivery.</t>
        </is>
      </c>
    </row>
    <row r="25" ht="30" customHeight="1" s="33">
      <c r="A25" s="44" t="inlineStr">
        <is>
          <t>IME-022</t>
        </is>
      </c>
      <c r="B25" s="44" t="inlineStr">
        <is>
          <t>Offshore Wind Value Chain Study</t>
        </is>
      </c>
      <c r="C25" s="44" t="inlineStr">
        <is>
          <t>Ms. V. Hartmann</t>
        </is>
      </c>
      <c r="D25" s="60" t="inlineStr">
        <is>
          <t>Green</t>
        </is>
      </c>
      <c r="E25" s="59" t="inlineStr">
        <is>
          <t>Industry survey launched</t>
        </is>
      </c>
      <c r="F25" s="59" t="inlineStr">
        <is>
          <t>Survey response rate lower than expected</t>
        </is>
      </c>
      <c r="G25" s="59" t="inlineStr">
        <is>
          <t>No</t>
        </is>
      </c>
      <c r="H25" s="59" t="inlineStr">
        <is>
          <t>42% response rate so far. Follow-up campaign planned. Target is 60% by July 31.</t>
        </is>
      </c>
    </row>
    <row r="26" ht="30" customHeight="1" s="33">
      <c r="A26" s="38" t="inlineStr">
        <is>
          <t>IME-023</t>
        </is>
      </c>
      <c r="B26" s="38" t="inlineStr">
        <is>
          <t>Climate-Neutral Industrial Parks</t>
        </is>
      </c>
      <c r="C26" s="38" t="inlineStr">
        <is>
          <t>Mr. W. Lorenz</t>
        </is>
      </c>
      <c r="D26" s="60" t="inlineStr">
        <is>
          <t>Green</t>
        </is>
      </c>
      <c r="E26" s="59" t="inlineStr">
        <is>
          <t>Site visit programme started</t>
        </is>
      </c>
      <c r="F26" s="59" t="inlineStr">
        <is>
          <t>None</t>
        </is>
      </c>
      <c r="G26" s="59" t="inlineStr">
        <is>
          <t>No</t>
        </is>
      </c>
      <c r="H26" s="59" t="inlineStr">
        <is>
          <t>4 of 8 site visits completed. Findings being documented for interim report.</t>
        </is>
      </c>
    </row>
    <row r="27" ht="30" customHeight="1" s="33">
      <c r="A27" s="44" t="inlineStr">
        <is>
          <t>IME-024</t>
        </is>
      </c>
      <c r="B27" s="44" t="inlineStr">
        <is>
          <t>Urban Mobility Transition Plan</t>
        </is>
      </c>
      <c r="C27" s="44" t="inlineStr">
        <is>
          <t>Ms. X. Lehmann</t>
        </is>
      </c>
      <c r="D27" s="61" t="inlineStr">
        <is>
          <t>Amber</t>
        </is>
      </c>
      <c r="E27" s="59" t="inlineStr">
        <is>
          <t>City partner survey complete</t>
        </is>
      </c>
      <c r="F27" s="59" t="inlineStr">
        <is>
          <t>Budget nearly exhausted</t>
        </is>
      </c>
      <c r="G27" s="59" t="inlineStr">
        <is>
          <t>No</t>
        </is>
      </c>
      <c r="H27" s="59" t="inlineStr">
        <is>
          <t>€6k remaining for final two deliverables. Tight but manageable if no scope changes.</t>
        </is>
      </c>
    </row>
    <row r="28" ht="30" customHeight="1" s="33">
      <c r="A28" s="38" t="inlineStr">
        <is>
          <t>IME-025</t>
        </is>
      </c>
      <c r="B28" s="38" t="inlineStr">
        <is>
          <t>Biomass Energy Potential Study</t>
        </is>
      </c>
      <c r="C28" s="38" t="inlineStr">
        <is>
          <t>Dr. Y. Maier</t>
        </is>
      </c>
      <c r="D28" s="60" t="inlineStr">
        <is>
          <t>Green</t>
        </is>
      </c>
      <c r="E28" s="59" t="inlineStr">
        <is>
          <t>Regional data collection complete</t>
        </is>
      </c>
      <c r="F28" s="59" t="inlineStr">
        <is>
          <t>None</t>
        </is>
      </c>
      <c r="G28" s="59" t="inlineStr">
        <is>
          <t>No</t>
        </is>
      </c>
      <c r="H28" s="59" t="inlineStr">
        <is>
          <t>Data from all 16 federal states collected. Analysis phase starting July.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36" customWidth="1" style="32" min="2" max="2"/>
    <col width="20" customWidth="1" style="32" min="3" max="3"/>
    <col width="14" customWidth="1" style="32" min="4" max="4"/>
    <col width="13" customWidth="1" style="32" min="5" max="5"/>
    <col width="16" customWidth="1" style="32" min="6" max="6"/>
    <col width="13" customWidth="1" style="32" min="7" max="7"/>
  </cols>
  <sheetData>
    <row r="1" ht="27.75" customHeight="1" s="33">
      <c r="A1" s="34" t="inlineStr">
        <is>
          <t>SOURCE 3: HR Timesheet Export — Person-Days by Project (May 2026)</t>
        </is>
      </c>
    </row>
    <row r="2" ht="15.75" customHeight="1" s="33">
      <c r="A2" s="35" t="inlineStr">
        <is>
          <t>Auto-export from HR system. Shows planned vs. actual person-days per project lead.</t>
        </is>
      </c>
    </row>
    <row r="3" ht="36" customHeight="1" s="33">
      <c r="A3" s="57" t="inlineStr">
        <is>
          <t>Project ID</t>
        </is>
      </c>
      <c r="B3" s="57" t="inlineStr">
        <is>
          <t>Project Name</t>
        </is>
      </c>
      <c r="C3" s="57" t="inlineStr">
        <is>
          <t>Project Lead</t>
        </is>
      </c>
      <c r="D3" s="57" t="inlineStr">
        <is>
          <t>Planned PD
(Full Project)</t>
        </is>
      </c>
      <c r="E3" s="57" t="inlineStr">
        <is>
          <t>Actual PD
(To Date)</t>
        </is>
      </c>
      <c r="F3" s="57" t="inlineStr">
        <is>
          <t>Remaining PD
(Planned)</t>
        </is>
      </c>
      <c r="G3" s="57" t="inlineStr">
        <is>
          <t>Utilisation %</t>
        </is>
      </c>
    </row>
    <row r="4" ht="18" customHeight="1" s="33">
      <c r="A4" s="37" t="inlineStr">
        <is>
          <t>IME-001</t>
        </is>
      </c>
      <c r="B4" s="38" t="inlineStr">
        <is>
          <t>Industrial Energy Efficiency Programme</t>
        </is>
      </c>
      <c r="C4" s="38" t="inlineStr">
        <is>
          <t>Dr. A. Müller</t>
        </is>
      </c>
      <c r="D4" s="37" t="n">
        <v>640</v>
      </c>
      <c r="E4" s="37" t="n">
        <v>420</v>
      </c>
      <c r="F4" s="37" t="n">
        <v>8</v>
      </c>
      <c r="G4" s="40">
        <f>E4/D4</f>
        <v/>
      </c>
    </row>
    <row r="5" ht="18" customHeight="1" s="33">
      <c r="A5" s="43" t="inlineStr">
        <is>
          <t>IME-002</t>
        </is>
      </c>
      <c r="B5" s="44" t="inlineStr">
        <is>
          <t>Hydrogen Readiness SME Network</t>
        </is>
      </c>
      <c r="C5" s="44" t="inlineStr">
        <is>
          <t>Ms. B. Weber</t>
        </is>
      </c>
      <c r="D5" s="43" t="n">
        <v>1120</v>
      </c>
      <c r="E5" s="43" t="n">
        <v>884</v>
      </c>
      <c r="F5" s="43" t="n">
        <v>202</v>
      </c>
      <c r="G5" s="46">
        <f>E5/D5</f>
        <v/>
      </c>
    </row>
    <row r="6" ht="18" customHeight="1" s="33">
      <c r="A6" s="37" t="inlineStr">
        <is>
          <t>IME-003</t>
        </is>
      </c>
      <c r="B6" s="38" t="inlineStr">
        <is>
          <t>Mobility Transition NRW — Phase II</t>
        </is>
      </c>
      <c r="C6" s="38" t="inlineStr">
        <is>
          <t>Mr. C. Schmidt</t>
        </is>
      </c>
      <c r="D6" s="37" t="n">
        <v>1600</v>
      </c>
      <c r="E6" s="37" t="n">
        <v>983</v>
      </c>
      <c r="F6" s="37" t="n">
        <v>4</v>
      </c>
      <c r="G6" s="40">
        <f>E6/D6</f>
        <v/>
      </c>
    </row>
    <row r="7" ht="18" customHeight="1" s="33">
      <c r="A7" s="43" t="inlineStr">
        <is>
          <t>IME-004</t>
        </is>
      </c>
      <c r="B7" s="44" t="inlineStr">
        <is>
          <t>Building Renovation Accelerator</t>
        </is>
      </c>
      <c r="C7" s="44" t="inlineStr">
        <is>
          <t>Ms. D. Fischer</t>
        </is>
      </c>
      <c r="D7" s="43" t="n">
        <v>1600</v>
      </c>
      <c r="E7" s="43" t="n">
        <v>1310</v>
      </c>
      <c r="F7" s="43" t="n">
        <v>228</v>
      </c>
      <c r="G7" s="46">
        <f>E7/D7</f>
        <v/>
      </c>
    </row>
    <row r="8" ht="18" customHeight="1" s="33">
      <c r="A8" s="37" t="inlineStr">
        <is>
          <t>IME-005</t>
        </is>
      </c>
      <c r="B8" s="38" t="inlineStr">
        <is>
          <t>Industrial Heat Pump Market Study</t>
        </is>
      </c>
      <c r="C8" s="38" t="inlineStr">
        <is>
          <t>Dr. E. Klein</t>
        </is>
      </c>
      <c r="D8" s="37" t="n">
        <v>1280</v>
      </c>
      <c r="E8" s="37" t="n">
        <v>941</v>
      </c>
      <c r="F8" s="37" t="n">
        <v>3</v>
      </c>
      <c r="G8" s="40">
        <f>E8/D8</f>
        <v/>
      </c>
    </row>
    <row r="9" ht="18" customHeight="1" s="33">
      <c r="A9" s="43" t="inlineStr">
        <is>
          <t>IME-006</t>
        </is>
      </c>
      <c r="B9" s="44" t="inlineStr">
        <is>
          <t>EV Fleet Transition — Public Sector</t>
        </is>
      </c>
      <c r="C9" s="44" t="inlineStr">
        <is>
          <t>Mr. F. Bauer</t>
        </is>
      </c>
      <c r="D9" s="43" t="n">
        <v>1920</v>
      </c>
      <c r="E9" s="43" t="n">
        <v>1440</v>
      </c>
      <c r="F9" s="43" t="n">
        <v>82</v>
      </c>
      <c r="G9" s="46">
        <f>E9/D9</f>
        <v/>
      </c>
    </row>
    <row r="10" ht="18" customHeight="1" s="33">
      <c r="A10" s="37" t="inlineStr">
        <is>
          <t>IME-007</t>
        </is>
      </c>
      <c r="B10" s="38" t="inlineStr">
        <is>
          <t>Energy Audit Digital Platform</t>
        </is>
      </c>
      <c r="C10" s="38" t="inlineStr">
        <is>
          <t>Ms. G. Hoffmann</t>
        </is>
      </c>
      <c r="D10" s="37" t="n">
        <v>1440</v>
      </c>
      <c r="E10" s="37" t="n">
        <v>1317</v>
      </c>
      <c r="F10" s="37" t="n">
        <v>2</v>
      </c>
      <c r="G10" s="40">
        <f>E10/D10</f>
        <v/>
      </c>
    </row>
    <row r="11" ht="18" customHeight="1" s="33">
      <c r="A11" s="43" t="inlineStr">
        <is>
          <t>IME-008</t>
        </is>
      </c>
      <c r="B11" s="44" t="inlineStr">
        <is>
          <t>Carbon Neutrality Roadmap</t>
        </is>
      </c>
      <c r="C11" s="44" t="inlineStr">
        <is>
          <t>Dr. H. Braun</t>
        </is>
      </c>
      <c r="D11" s="43" t="n">
        <v>1760</v>
      </c>
      <c r="E11" s="43" t="n">
        <v>1310</v>
      </c>
      <c r="F11" s="43" t="n">
        <v>198</v>
      </c>
      <c r="G11" s="46">
        <f>E11/D11</f>
        <v/>
      </c>
    </row>
    <row r="12" ht="18" customHeight="1" s="33">
      <c r="A12" s="37" t="inlineStr">
        <is>
          <t>IME-009</t>
        </is>
      </c>
      <c r="B12" s="38" t="inlineStr">
        <is>
          <t>District Heating Transition</t>
        </is>
      </c>
      <c r="C12" s="38" t="inlineStr">
        <is>
          <t>Mr. I. Richter</t>
        </is>
      </c>
      <c r="D12" s="37" t="n">
        <v>1120</v>
      </c>
      <c r="E12" s="37" t="n">
        <v>741</v>
      </c>
      <c r="F12" s="37" t="n">
        <v>256</v>
      </c>
      <c r="G12" s="40">
        <f>E12/D12</f>
        <v/>
      </c>
    </row>
    <row r="13" ht="18" customHeight="1" s="33">
      <c r="A13" s="43" t="inlineStr">
        <is>
          <t>IME-010</t>
        </is>
      </c>
      <c r="B13" s="44" t="inlineStr">
        <is>
          <t>Smart Industry Energy Monitoring</t>
        </is>
      </c>
      <c r="C13" s="44" t="inlineStr">
        <is>
          <t>Ms. J. Lange</t>
        </is>
      </c>
      <c r="D13" s="43" t="n">
        <v>480</v>
      </c>
      <c r="E13" s="43" t="n">
        <v>421</v>
      </c>
      <c r="F13" s="43" t="n">
        <v>127</v>
      </c>
      <c r="G13" s="46">
        <f>E13/D13</f>
        <v/>
      </c>
    </row>
    <row r="14" ht="18" customHeight="1" s="33">
      <c r="A14" s="37" t="inlineStr">
        <is>
          <t>IME-011</t>
        </is>
      </c>
      <c r="B14" s="38" t="inlineStr">
        <is>
          <t>Energy Efficiency Audit SME</t>
        </is>
      </c>
      <c r="C14" s="38" t="inlineStr">
        <is>
          <t>Mr. K. Wolf</t>
        </is>
      </c>
      <c r="D14" s="37" t="n">
        <v>1600</v>
      </c>
      <c r="E14" s="37" t="n">
        <v>1213</v>
      </c>
      <c r="F14" s="37" t="n">
        <v>3</v>
      </c>
      <c r="G14" s="40">
        <f>E14/D14</f>
        <v/>
      </c>
    </row>
    <row r="15" ht="18" customHeight="1" s="33">
      <c r="A15" s="43" t="inlineStr">
        <is>
          <t>IME-012</t>
        </is>
      </c>
      <c r="B15" s="44" t="inlineStr">
        <is>
          <t>Green Hydrogen Production Study</t>
        </is>
      </c>
      <c r="C15" s="44" t="inlineStr">
        <is>
          <t>Ms. L. Braun</t>
        </is>
      </c>
      <c r="D15" s="43" t="n">
        <v>1120</v>
      </c>
      <c r="E15" s="43" t="n">
        <v>725</v>
      </c>
      <c r="F15" s="43" t="n">
        <v>108</v>
      </c>
      <c r="G15" s="46">
        <f>E15/D15</f>
        <v/>
      </c>
    </row>
    <row r="16" ht="18" customHeight="1" s="33">
      <c r="A16" s="37" t="inlineStr">
        <is>
          <t>IME-013</t>
        </is>
      </c>
      <c r="B16" s="38" t="inlineStr">
        <is>
          <t>Sector Coupling Innovation Network</t>
        </is>
      </c>
      <c r="C16" s="38" t="inlineStr">
        <is>
          <t>Dr. M. Koch</t>
        </is>
      </c>
      <c r="D16" s="37" t="n">
        <v>1920</v>
      </c>
      <c r="E16" s="37" t="n">
        <v>1555</v>
      </c>
      <c r="F16" s="37" t="n">
        <v>149</v>
      </c>
      <c r="G16" s="40">
        <f>E16/D16</f>
        <v/>
      </c>
    </row>
    <row r="17" ht="18" customHeight="1" s="33">
      <c r="A17" s="43" t="inlineStr">
        <is>
          <t>IME-014</t>
        </is>
      </c>
      <c r="B17" s="44" t="inlineStr">
        <is>
          <t>Low-Carbon Transport Feasibility</t>
        </is>
      </c>
      <c r="C17" s="44" t="inlineStr">
        <is>
          <t>Mr. N. Becker</t>
        </is>
      </c>
      <c r="D17" s="43" t="n">
        <v>960</v>
      </c>
      <c r="E17" s="43" t="n">
        <v>531</v>
      </c>
      <c r="F17" s="43" t="n">
        <v>2</v>
      </c>
      <c r="G17" s="46">
        <f>E17/D17</f>
        <v/>
      </c>
    </row>
    <row r="18" ht="18" customHeight="1" s="33">
      <c r="A18" s="37" t="inlineStr">
        <is>
          <t>IME-015</t>
        </is>
      </c>
      <c r="B18" s="38" t="inlineStr">
        <is>
          <t>Smart Grid Pilot — Rural Areas</t>
        </is>
      </c>
      <c r="C18" s="38" t="inlineStr">
        <is>
          <t>Ms. O. Schäfer</t>
        </is>
      </c>
      <c r="D18" s="37" t="n">
        <v>1280</v>
      </c>
      <c r="E18" s="37" t="n">
        <v>771</v>
      </c>
      <c r="F18" s="37" t="n">
        <v>125</v>
      </c>
      <c r="G18" s="40">
        <f>E18/D18</f>
        <v/>
      </c>
    </row>
    <row r="19" ht="18" customHeight="1" s="33">
      <c r="A19" s="43" t="inlineStr">
        <is>
          <t>IME-016</t>
        </is>
      </c>
      <c r="B19" s="44" t="inlineStr">
        <is>
          <t>Industrial Decarbonisation Roadmap</t>
        </is>
      </c>
      <c r="C19" s="44" t="inlineStr">
        <is>
          <t>Mr. P. Wagner</t>
        </is>
      </c>
      <c r="D19" s="43" t="n">
        <v>960</v>
      </c>
      <c r="E19" s="43" t="n">
        <v>898</v>
      </c>
      <c r="F19" s="43" t="n">
        <v>294</v>
      </c>
      <c r="G19" s="46">
        <f>E19/D19</f>
        <v/>
      </c>
    </row>
    <row r="20" ht="18" customHeight="1" s="33">
      <c r="A20" s="37" t="inlineStr">
        <is>
          <t>IME-017</t>
        </is>
      </c>
      <c r="B20" s="38" t="inlineStr">
        <is>
          <t>Renewable Energy Communities Study</t>
        </is>
      </c>
      <c r="C20" s="38" t="inlineStr">
        <is>
          <t>Dr. Q. Zimmermann</t>
        </is>
      </c>
      <c r="D20" s="37" t="n">
        <v>800</v>
      </c>
      <c r="E20" s="37" t="n">
        <v>474</v>
      </c>
      <c r="F20" s="37" t="n">
        <v>178</v>
      </c>
      <c r="G20" s="40">
        <f>E20/D20</f>
        <v/>
      </c>
    </row>
    <row r="21" ht="18" customHeight="1" s="33">
      <c r="A21" s="43" t="inlineStr">
        <is>
          <t>IME-018</t>
        </is>
      </c>
      <c r="B21" s="44" t="inlineStr">
        <is>
          <t>Building Decarbonisation Policy Brief</t>
        </is>
      </c>
      <c r="C21" s="44" t="inlineStr">
        <is>
          <t>Ms. R. Neumann</t>
        </is>
      </c>
      <c r="D21" s="43" t="n">
        <v>800</v>
      </c>
      <c r="E21" s="43" t="n">
        <v>455</v>
      </c>
      <c r="F21" s="43" t="n">
        <v>2</v>
      </c>
      <c r="G21" s="46">
        <f>E21/D21</f>
        <v/>
      </c>
    </row>
    <row r="22" ht="18" customHeight="1" s="33">
      <c r="A22" s="37" t="inlineStr">
        <is>
          <t>IME-019</t>
        </is>
      </c>
      <c r="B22" s="38" t="inlineStr">
        <is>
          <t>Circular Economy Energy Materials</t>
        </is>
      </c>
      <c r="C22" s="38" t="inlineStr">
        <is>
          <t>Mr. S. Schwarz</t>
        </is>
      </c>
      <c r="D22" s="37" t="n">
        <v>480</v>
      </c>
      <c r="E22" s="37" t="n">
        <v>365</v>
      </c>
      <c r="F22" s="37" t="n">
        <v>148</v>
      </c>
      <c r="G22" s="40">
        <f>E22/D22</f>
        <v/>
      </c>
    </row>
    <row r="23" ht="18" customHeight="1" s="33">
      <c r="A23" s="43" t="inlineStr">
        <is>
          <t>IME-020</t>
        </is>
      </c>
      <c r="B23" s="44" t="inlineStr">
        <is>
          <t>Cross-Border Energy Transition Forum</t>
        </is>
      </c>
      <c r="C23" s="44" t="inlineStr">
        <is>
          <t>Ms. T. Schulz</t>
        </is>
      </c>
      <c r="D23" s="43" t="n">
        <v>1760</v>
      </c>
      <c r="E23" s="43" t="n">
        <v>1566</v>
      </c>
      <c r="F23" s="43" t="n">
        <v>130</v>
      </c>
      <c r="G23" s="46">
        <f>E23/D23</f>
        <v/>
      </c>
    </row>
    <row r="24" ht="18" customHeight="1" s="33">
      <c r="A24" s="37" t="inlineStr">
        <is>
          <t>IME-021</t>
        </is>
      </c>
      <c r="B24" s="38" t="inlineStr">
        <is>
          <t>Energy Storage Market Analysis</t>
        </is>
      </c>
      <c r="C24" s="38" t="inlineStr">
        <is>
          <t>Dr. U. Krause</t>
        </is>
      </c>
      <c r="D24" s="37" t="n">
        <v>1120</v>
      </c>
      <c r="E24" s="37" t="n">
        <v>948</v>
      </c>
      <c r="F24" s="37" t="n">
        <v>100</v>
      </c>
      <c r="G24" s="40">
        <f>E24/D24</f>
        <v/>
      </c>
    </row>
    <row r="25" ht="18" customHeight="1" s="33">
      <c r="A25" s="43" t="inlineStr">
        <is>
          <t>IME-022</t>
        </is>
      </c>
      <c r="B25" s="44" t="inlineStr">
        <is>
          <t>Offshore Wind Value Chain Study</t>
        </is>
      </c>
      <c r="C25" s="44" t="inlineStr">
        <is>
          <t>Ms. V. Hartmann</t>
        </is>
      </c>
      <c r="D25" s="43" t="n">
        <v>1280</v>
      </c>
      <c r="E25" s="43" t="n">
        <v>1015</v>
      </c>
      <c r="F25" s="43" t="n">
        <v>167</v>
      </c>
      <c r="G25" s="46">
        <f>E25/D25</f>
        <v/>
      </c>
    </row>
    <row r="26" ht="18" customHeight="1" s="33">
      <c r="A26" s="37" t="inlineStr">
        <is>
          <t>IME-023</t>
        </is>
      </c>
      <c r="B26" s="38" t="inlineStr">
        <is>
          <t>Climate-Neutral Industrial Parks</t>
        </is>
      </c>
      <c r="C26" s="38" t="inlineStr">
        <is>
          <t>Mr. W. Lorenz</t>
        </is>
      </c>
      <c r="D26" s="37" t="n">
        <v>1280</v>
      </c>
      <c r="E26" s="37" t="n">
        <v>1205</v>
      </c>
      <c r="F26" s="37" t="n">
        <v>119</v>
      </c>
      <c r="G26" s="40">
        <f>E26/D26</f>
        <v/>
      </c>
    </row>
    <row r="27" ht="18" customHeight="1" s="33">
      <c r="A27" s="43" t="inlineStr">
        <is>
          <t>IME-024</t>
        </is>
      </c>
      <c r="B27" s="44" t="inlineStr">
        <is>
          <t>Urban Mobility Transition Plan</t>
        </is>
      </c>
      <c r="C27" s="44" t="inlineStr">
        <is>
          <t>Ms. X. Lehmann</t>
        </is>
      </c>
      <c r="D27" s="43" t="n">
        <v>1920</v>
      </c>
      <c r="E27" s="43" t="n">
        <v>1707</v>
      </c>
      <c r="F27" s="43" t="n">
        <v>5</v>
      </c>
      <c r="G27" s="46">
        <f>E27/D27</f>
        <v/>
      </c>
    </row>
    <row r="28" ht="18" customHeight="1" s="33">
      <c r="A28" s="37" t="inlineStr">
        <is>
          <t>IME-025</t>
        </is>
      </c>
      <c r="B28" s="38" t="inlineStr">
        <is>
          <t>Biomass Energy Potential Study</t>
        </is>
      </c>
      <c r="C28" s="38" t="inlineStr">
        <is>
          <t>Dr. Y. Maier</t>
        </is>
      </c>
      <c r="D28" s="37" t="n">
        <v>1760</v>
      </c>
      <c r="E28" s="37" t="n">
        <v>1226</v>
      </c>
      <c r="F28" s="37" t="n">
        <v>152</v>
      </c>
      <c r="G28" s="40">
        <f>E28/D28</f>
        <v/>
      </c>
    </row>
    <row r="29">
      <c r="D29" s="32" t="n">
        <v>960</v>
      </c>
      <c r="E29" s="32" t="n">
        <v>703</v>
      </c>
      <c r="G29" s="32">
        <f>E29/D29</f>
        <v/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24" customWidth="1" style="32" min="2" max="2"/>
    <col width="36" customWidth="1" style="32" min="3" max="3"/>
    <col width="14" customWidth="1" style="32" min="4" max="5"/>
    <col width="12" customWidth="1" style="32" min="6" max="6"/>
    <col width="13" customWidth="1" style="32" min="7" max="7"/>
    <col width="40" customWidth="1" style="32" min="8" max="8"/>
  </cols>
  <sheetData>
    <row r="1" ht="27.75" customHeight="1" s="33">
      <c r="A1" s="34" t="inlineStr">
        <is>
          <t>SOURCE 4: Milestone Tracker — Planned vs. Actual (Updated by Project Leads)</t>
        </is>
      </c>
    </row>
    <row r="2" ht="15.75" customHeight="1" s="33">
      <c r="A2" s="35" t="inlineStr">
        <is>
          <t>All milestones for current reporting period. Overdue = planned date passed without completion.</t>
        </is>
      </c>
    </row>
    <row r="3" ht="39.75" customHeight="1" s="33">
      <c r="A3" s="57" t="inlineStr">
        <is>
          <t>Project ID</t>
        </is>
      </c>
      <c r="B3" s="57" t="inlineStr">
        <is>
          <t>Project Name</t>
        </is>
      </c>
      <c r="C3" s="57" t="inlineStr">
        <is>
          <t>Milestone Description</t>
        </is>
      </c>
      <c r="D3" s="57" t="inlineStr">
        <is>
          <t>Planned Date</t>
        </is>
      </c>
      <c r="E3" s="57" t="inlineStr">
        <is>
          <t>Actual Date
(if reached)</t>
        </is>
      </c>
      <c r="F3" s="57" t="inlineStr">
        <is>
          <t>Status</t>
        </is>
      </c>
      <c r="G3" s="57" t="inlineStr">
        <is>
          <t>Days Overdue
(if applicable)</t>
        </is>
      </c>
      <c r="H3" s="57" t="inlineStr">
        <is>
          <t>Notes</t>
        </is>
      </c>
    </row>
    <row r="4" ht="19.5" customHeight="1" s="33">
      <c r="A4" s="37" t="inlineStr">
        <is>
          <t>IME-001</t>
        </is>
      </c>
      <c r="B4" s="38" t="inlineStr">
        <is>
          <t>Industrial Energy Efficiency</t>
        </is>
      </c>
      <c r="C4" s="38" t="inlineStr">
        <is>
          <t>Final report submission</t>
        </is>
      </c>
      <c r="D4" s="37" t="inlineStr">
        <is>
          <t>2026-06-30</t>
        </is>
      </c>
      <c r="E4" s="37" t="n"/>
      <c r="F4" s="41" t="inlineStr">
        <is>
          <t>Overdue</t>
        </is>
      </c>
      <c r="G4" s="37" t="n"/>
      <c r="H4" s="38" t="inlineStr">
        <is>
          <t>Extension request submitted to BMWK</t>
        </is>
      </c>
    </row>
    <row r="5" ht="19.5" customHeight="1" s="33">
      <c r="A5" s="43" t="inlineStr">
        <is>
          <t>IME-001</t>
        </is>
      </c>
      <c r="B5" s="44" t="inlineStr">
        <is>
          <t>Industrial Energy Efficiency</t>
        </is>
      </c>
      <c r="C5" s="44" t="inlineStr">
        <is>
          <t>Project closure meeting</t>
        </is>
      </c>
      <c r="D5" s="43" t="inlineStr">
        <is>
          <t>2026-07-15</t>
        </is>
      </c>
      <c r="E5" s="43" t="n"/>
      <c r="F5" s="48" t="inlineStr">
        <is>
          <t>Upcoming</t>
        </is>
      </c>
      <c r="G5" s="43" t="n"/>
      <c r="H5" s="44" t="inlineStr">
        <is>
          <t>Dependent on extension approval</t>
        </is>
      </c>
    </row>
    <row r="6" ht="19.5" customHeight="1" s="33">
      <c r="A6" s="37" t="inlineStr">
        <is>
          <t>IME-002</t>
        </is>
      </c>
      <c r="B6" s="38" t="inlineStr">
        <is>
          <t>Hydrogen SME Network</t>
        </is>
      </c>
      <c r="C6" s="38" t="inlineStr">
        <is>
          <t>Stakeholder workshop #2</t>
        </is>
      </c>
      <c r="D6" s="37" t="inlineStr">
        <is>
          <t>2026-07-15</t>
        </is>
      </c>
      <c r="E6" s="37" t="n"/>
      <c r="F6" s="48" t="inlineStr">
        <is>
          <t>Upcoming</t>
        </is>
      </c>
      <c r="G6" s="37" t="n"/>
      <c r="H6" s="38" t="inlineStr">
        <is>
          <t>Venue confirmed, 45 registrations</t>
        </is>
      </c>
    </row>
    <row r="7" ht="19.5" customHeight="1" s="33">
      <c r="A7" s="43" t="inlineStr">
        <is>
          <t>IME-002</t>
        </is>
      </c>
      <c r="B7" s="44" t="inlineStr">
        <is>
          <t>Hydrogen SME Network</t>
        </is>
      </c>
      <c r="C7" s="44" t="inlineStr">
        <is>
          <t>Partner network report Q2</t>
        </is>
      </c>
      <c r="D7" s="43" t="inlineStr">
        <is>
          <t>2026-06-30</t>
        </is>
      </c>
      <c r="E7" s="43" t="inlineStr">
        <is>
          <t>2026-06-28</t>
        </is>
      </c>
      <c r="F7" s="47" t="inlineStr">
        <is>
          <t>Completed</t>
        </is>
      </c>
      <c r="G7" s="43" t="n"/>
      <c r="H7" s="44" t="inlineStr">
        <is>
          <t>Submitted 2 days early</t>
        </is>
      </c>
    </row>
    <row r="8" ht="19.5" customHeight="1" s="33">
      <c r="A8" s="37" t="inlineStr">
        <is>
          <t>IME-003</t>
        </is>
      </c>
      <c r="B8" s="38" t="inlineStr">
        <is>
          <t>Mobility NRW Phase II</t>
        </is>
      </c>
      <c r="C8" s="38" t="inlineStr">
        <is>
          <t>Interim evaluation report</t>
        </is>
      </c>
      <c r="D8" s="37" t="inlineStr">
        <is>
          <t>2026-07-01</t>
        </is>
      </c>
      <c r="E8" s="37" t="n"/>
      <c r="F8" s="48" t="inlineStr">
        <is>
          <t>Upcoming</t>
        </is>
      </c>
      <c r="G8" s="37" t="n"/>
      <c r="H8" s="38" t="inlineStr">
        <is>
          <t>Draft 80% complete</t>
        </is>
      </c>
    </row>
    <row r="9" ht="19.5" customHeight="1" s="33">
      <c r="A9" s="43" t="inlineStr">
        <is>
          <t>IME-003</t>
        </is>
      </c>
      <c r="B9" s="44" t="inlineStr">
        <is>
          <t>Mobility NRW Phase II</t>
        </is>
      </c>
      <c r="C9" s="44" t="inlineStr">
        <is>
          <t>Funder review meeting</t>
        </is>
      </c>
      <c r="D9" s="43" t="inlineStr">
        <is>
          <t>2026-05-15</t>
        </is>
      </c>
      <c r="E9" s="43" t="n"/>
      <c r="F9" s="41" t="inlineStr">
        <is>
          <t>Overdue</t>
        </is>
      </c>
      <c r="G9" s="49" t="n">
        <v>31</v>
      </c>
      <c r="H9" s="44" t="inlineStr">
        <is>
          <t>Meeting postponed by funder to July</t>
        </is>
      </c>
    </row>
    <row r="10" ht="19.5" customHeight="1" s="33">
      <c r="A10" s="37" t="inlineStr">
        <is>
          <t>IME-004</t>
        </is>
      </c>
      <c r="B10" s="38" t="inlineStr">
        <is>
          <t>Building Renovation</t>
        </is>
      </c>
      <c r="C10" s="38" t="inlineStr">
        <is>
          <t>Pilot site selection complete</t>
        </is>
      </c>
      <c r="D10" s="37" t="inlineStr">
        <is>
          <t>2026-08-31</t>
        </is>
      </c>
      <c r="E10" s="37" t="n"/>
      <c r="F10" s="48" t="inlineStr">
        <is>
          <t>Upcoming</t>
        </is>
      </c>
      <c r="G10" s="37" t="n"/>
      <c r="H10" s="38" t="inlineStr">
        <is>
          <t>3 of 5 sites confirmed</t>
        </is>
      </c>
    </row>
    <row r="11" ht="19.5" customHeight="1" s="33">
      <c r="A11" s="43" t="inlineStr">
        <is>
          <t>IME-005</t>
        </is>
      </c>
      <c r="B11" s="44" t="inlineStr">
        <is>
          <t>Heat Pump Market Study</t>
        </is>
      </c>
      <c r="C11" s="44" t="inlineStr">
        <is>
          <t>Final publication</t>
        </is>
      </c>
      <c r="D11" s="43" t="inlineStr">
        <is>
          <t>2026-08-15</t>
        </is>
      </c>
      <c r="E11" s="43" t="n"/>
      <c r="F11" s="48" t="inlineStr">
        <is>
          <t>Upcoming</t>
        </is>
      </c>
      <c r="G11" s="43" t="n"/>
      <c r="H11" s="44" t="inlineStr">
        <is>
          <t>Delayed 3 weeks from original plan</t>
        </is>
      </c>
    </row>
    <row r="12" ht="19.5" customHeight="1" s="33">
      <c r="A12" s="37" t="inlineStr">
        <is>
          <t>IME-006</t>
        </is>
      </c>
      <c r="B12" s="38" t="inlineStr">
        <is>
          <t>EV Fleet Transition</t>
        </is>
      </c>
      <c r="C12" s="38" t="inlineStr">
        <is>
          <t>Mid-term stakeholder review</t>
        </is>
      </c>
      <c r="D12" s="37" t="inlineStr">
        <is>
          <t>2026-07-30</t>
        </is>
      </c>
      <c r="E12" s="37" t="n"/>
      <c r="F12" s="48" t="inlineStr">
        <is>
          <t>Upcoming</t>
        </is>
      </c>
      <c r="G12" s="37" t="n"/>
      <c r="H12" s="38" t="inlineStr">
        <is>
          <t>Agenda drafted</t>
        </is>
      </c>
    </row>
    <row r="13" ht="19.5" customHeight="1" s="33">
      <c r="A13" s="43" t="inlineStr">
        <is>
          <t>IME-007</t>
        </is>
      </c>
      <c r="B13" s="44" t="inlineStr">
        <is>
          <t>Energy Audit Platform</t>
        </is>
      </c>
      <c r="C13" s="44" t="inlineStr">
        <is>
          <t>Platform go-live</t>
        </is>
      </c>
      <c r="D13" s="43" t="inlineStr">
        <is>
          <t>2026-06-01</t>
        </is>
      </c>
      <c r="E13" s="43" t="n"/>
      <c r="F13" s="41" t="inlineStr">
        <is>
          <t>Overdue</t>
        </is>
      </c>
      <c r="G13" s="49" t="n">
        <v>14</v>
      </c>
      <c r="H13" s="44" t="inlineStr">
        <is>
          <t>IT integration failure — escalated</t>
        </is>
      </c>
    </row>
    <row r="14" ht="19.5" customHeight="1" s="33">
      <c r="A14" s="37" t="inlineStr">
        <is>
          <t>IME-007</t>
        </is>
      </c>
      <c r="B14" s="38" t="inlineStr">
        <is>
          <t>Energy Audit Platform</t>
        </is>
      </c>
      <c r="C14" s="38" t="inlineStr">
        <is>
          <t>Revised go-live target</t>
        </is>
      </c>
      <c r="D14" s="37" t="inlineStr">
        <is>
          <t>2026-07-31</t>
        </is>
      </c>
      <c r="E14" s="37" t="n"/>
      <c r="F14" s="48" t="inlineStr">
        <is>
          <t>Upcoming</t>
        </is>
      </c>
      <c r="G14" s="37" t="n"/>
      <c r="H14" s="38" t="inlineStr">
        <is>
          <t>Contingent on IT resolution</t>
        </is>
      </c>
    </row>
    <row r="15" ht="19.5" customHeight="1" s="33">
      <c r="A15" s="43" t="inlineStr">
        <is>
          <t>IME-008</t>
        </is>
      </c>
      <c r="B15" s="44" t="inlineStr">
        <is>
          <t>Carbon Neutrality Roadmap</t>
        </is>
      </c>
      <c r="C15" s="44" t="inlineStr">
        <is>
          <t>Advisory board setup</t>
        </is>
      </c>
      <c r="D15" s="43" t="inlineStr">
        <is>
          <t>2026-07-15</t>
        </is>
      </c>
      <c r="E15" s="43" t="n"/>
      <c r="F15" s="48" t="inlineStr">
        <is>
          <t>Upcoming</t>
        </is>
      </c>
      <c r="G15" s="43" t="n"/>
      <c r="H15" s="44" t="inlineStr">
        <is>
          <t>6/8 members confirmed</t>
        </is>
      </c>
    </row>
    <row r="16" ht="19.5" customHeight="1" s="33">
      <c r="A16" s="37" t="inlineStr">
        <is>
          <t>IME-009</t>
        </is>
      </c>
      <c r="B16" s="38" t="inlineStr">
        <is>
          <t>District Heating</t>
        </is>
      </c>
      <c r="C16" s="38" t="inlineStr">
        <is>
          <t>Municipal partner agreements</t>
        </is>
      </c>
      <c r="D16" s="37" t="inlineStr">
        <is>
          <t>2026-08-01</t>
        </is>
      </c>
      <c r="E16" s="37" t="n"/>
      <c r="F16" s="48" t="inlineStr">
        <is>
          <t>Upcoming</t>
        </is>
      </c>
      <c r="G16" s="37" t="n"/>
      <c r="H16" s="38" t="inlineStr">
        <is>
          <t>3 MOUs signed, 2 pending legal</t>
        </is>
      </c>
    </row>
    <row r="17" ht="19.5" customHeight="1" s="33">
      <c r="A17" s="43" t="inlineStr">
        <is>
          <t>IME-010</t>
        </is>
      </c>
      <c r="B17" s="44" t="inlineStr">
        <is>
          <t>Smart Industry Monitoring</t>
        </is>
      </c>
      <c r="C17" s="44" t="inlineStr">
        <is>
          <t>Data collection framework sign-off</t>
        </is>
      </c>
      <c r="D17" s="43" t="inlineStr">
        <is>
          <t>2026-07-31</t>
        </is>
      </c>
      <c r="E17" s="43" t="n"/>
      <c r="F17" s="48" t="inlineStr">
        <is>
          <t>Upcoming</t>
        </is>
      </c>
      <c r="G17" s="43" t="n"/>
      <c r="H17" s="44" t="inlineStr">
        <is>
          <t>2/5 partner agreements complete</t>
        </is>
      </c>
    </row>
    <row r="18" ht="19.5" customHeight="1" s="33">
      <c r="A18" s="37" t="inlineStr">
        <is>
          <t>IME-011</t>
        </is>
      </c>
      <c r="B18" s="38" t="inlineStr">
        <is>
          <t>SME Audit Programme</t>
        </is>
      </c>
      <c r="C18" s="38" t="inlineStr">
        <is>
          <t>Q2 audit report</t>
        </is>
      </c>
      <c r="D18" s="37" t="inlineStr">
        <is>
          <t>2026-06-30</t>
        </is>
      </c>
      <c r="E18" s="37" t="inlineStr">
        <is>
          <t>2026-06-29</t>
        </is>
      </c>
      <c r="F18" s="47" t="inlineStr">
        <is>
          <t>Completed</t>
        </is>
      </c>
      <c r="G18" s="37" t="n"/>
      <c r="H18" s="38" t="inlineStr">
        <is>
          <t>Submitted on time</t>
        </is>
      </c>
    </row>
    <row r="19" ht="19.5" customHeight="1" s="33">
      <c r="A19" s="43" t="inlineStr">
        <is>
          <t>IME-011</t>
        </is>
      </c>
      <c r="B19" s="44" t="inlineStr">
        <is>
          <t>SME Audit Programme</t>
        </is>
      </c>
      <c r="C19" s="44" t="inlineStr">
        <is>
          <t>Q3 audit cycle start</t>
        </is>
      </c>
      <c r="D19" s="43" t="inlineStr">
        <is>
          <t>2026-07-15</t>
        </is>
      </c>
      <c r="E19" s="43" t="n"/>
      <c r="F19" s="48" t="inlineStr">
        <is>
          <t>Upcoming</t>
        </is>
      </c>
      <c r="G19" s="43" t="n"/>
      <c r="H19" s="44" t="inlineStr">
        <is>
          <t>At risk — budget critically low</t>
        </is>
      </c>
    </row>
    <row r="20" ht="19.5" customHeight="1" s="33">
      <c r="A20" s="37" t="inlineStr">
        <is>
          <t>IME-012</t>
        </is>
      </c>
      <c r="B20" s="38" t="inlineStr">
        <is>
          <t>Green Hydrogen Study</t>
        </is>
      </c>
      <c r="C20" s="38" t="inlineStr">
        <is>
          <t>Expert interview series start</t>
        </is>
      </c>
      <c r="D20" s="37" t="inlineStr">
        <is>
          <t>2026-07-01</t>
        </is>
      </c>
      <c r="E20" s="37" t="n"/>
      <c r="F20" s="48" t="inlineStr">
        <is>
          <t>Upcoming</t>
        </is>
      </c>
      <c r="G20" s="37" t="n"/>
      <c r="H20" s="38" t="inlineStr">
        <is>
          <t>8 interviews scheduled</t>
        </is>
      </c>
    </row>
    <row r="21" ht="19.5" customHeight="1" s="33">
      <c r="A21" s="43" t="inlineStr">
        <is>
          <t>IME-013</t>
        </is>
      </c>
      <c r="B21" s="44" t="inlineStr">
        <is>
          <t>Sector Coupling Network</t>
        </is>
      </c>
      <c r="C21" s="44" t="inlineStr">
        <is>
          <t>Annual conference</t>
        </is>
      </c>
      <c r="D21" s="43" t="inlineStr">
        <is>
          <t>2026-09-15</t>
        </is>
      </c>
      <c r="E21" s="43" t="n"/>
      <c r="F21" s="48" t="inlineStr">
        <is>
          <t>Upcoming</t>
        </is>
      </c>
      <c r="G21" s="43" t="n"/>
      <c r="H21" s="44" t="inlineStr">
        <is>
          <t>Venue TBC</t>
        </is>
      </c>
    </row>
    <row r="22" ht="19.5" customHeight="1" s="33">
      <c r="A22" s="37" t="inlineStr">
        <is>
          <t>IME-014</t>
        </is>
      </c>
      <c r="B22" s="38" t="inlineStr">
        <is>
          <t>Low-Carbon Transport</t>
        </is>
      </c>
      <c r="C22" s="38" t="inlineStr">
        <is>
          <t>Final feasibility report</t>
        </is>
      </c>
      <c r="D22" s="37" t="inlineStr">
        <is>
          <t>2026-07-31</t>
        </is>
      </c>
      <c r="E22" s="37" t="n"/>
      <c r="F22" s="48" t="inlineStr">
        <is>
          <t>Upcoming</t>
        </is>
      </c>
      <c r="G22" s="37" t="n"/>
      <c r="H22" s="38" t="inlineStr">
        <is>
          <t>Last deliverable — nearly complete</t>
        </is>
      </c>
    </row>
    <row r="23" ht="19.5" customHeight="1" s="33">
      <c r="A23" s="43" t="inlineStr">
        <is>
          <t>IME-015</t>
        </is>
      </c>
      <c r="B23" s="44" t="inlineStr">
        <is>
          <t>Smart Grid Pilot</t>
        </is>
      </c>
      <c r="C23" s="44" t="inlineStr">
        <is>
          <t>Technical partner MOU</t>
        </is>
      </c>
      <c r="D23" s="43" t="inlineStr">
        <is>
          <t>2026-06-30</t>
        </is>
      </c>
      <c r="E23" s="43" t="inlineStr">
        <is>
          <t>2026-06-25</t>
        </is>
      </c>
      <c r="F23" s="47" t="inlineStr">
        <is>
          <t>Completed</t>
        </is>
      </c>
      <c r="G23" s="43" t="n"/>
      <c r="H23" s="44" t="inlineStr">
        <is>
          <t>Signed ahead of schedule</t>
        </is>
      </c>
    </row>
    <row r="24" ht="19.5" customHeight="1" s="33">
      <c r="A24" s="37" t="inlineStr">
        <is>
          <t>IME-016</t>
        </is>
      </c>
      <c r="B24" s="38" t="inlineStr">
        <is>
          <t>Industrial Decarbonisation</t>
        </is>
      </c>
      <c r="C24" s="38" t="inlineStr">
        <is>
          <t>Inception report approval</t>
        </is>
      </c>
      <c r="D24" s="37" t="inlineStr">
        <is>
          <t>2026-06-30</t>
        </is>
      </c>
      <c r="E24" s="37" t="inlineStr">
        <is>
          <t>2026-06-30</t>
        </is>
      </c>
      <c r="F24" s="47" t="inlineStr">
        <is>
          <t>Completed</t>
        </is>
      </c>
      <c r="G24" s="37" t="n"/>
      <c r="H24" s="38" t="inlineStr">
        <is>
          <t>Approved on deadline</t>
        </is>
      </c>
    </row>
    <row r="25" ht="19.5" customHeight="1" s="33">
      <c r="A25" s="43" t="inlineStr">
        <is>
          <t>IME-017</t>
        </is>
      </c>
      <c r="B25" s="44" t="inlineStr">
        <is>
          <t>Renewable Energy Communities</t>
        </is>
      </c>
      <c r="C25" s="44" t="inlineStr">
        <is>
          <t>Case study report</t>
        </is>
      </c>
      <c r="D25" s="43" t="inlineStr">
        <is>
          <t>2026-09-01</t>
        </is>
      </c>
      <c r="E25" s="43" t="n"/>
      <c r="F25" s="48" t="inlineStr">
        <is>
          <t>Upcoming</t>
        </is>
      </c>
      <c r="G25" s="43" t="n"/>
      <c r="H25" s="44" t="inlineStr">
        <is>
          <t>Two deliverables converging — risk</t>
        </is>
      </c>
    </row>
    <row r="26" ht="19.5" customHeight="1" s="33">
      <c r="A26" s="37" t="inlineStr">
        <is>
          <t>IME-018</t>
        </is>
      </c>
      <c r="B26" s="38" t="inlineStr">
        <is>
          <t>Building Policy Brief</t>
        </is>
      </c>
      <c r="C26" s="38" t="inlineStr">
        <is>
          <t>Final policy brief</t>
        </is>
      </c>
      <c r="D26" s="37" t="inlineStr">
        <is>
          <t>2026-07-15</t>
        </is>
      </c>
      <c r="E26" s="37" t="n"/>
      <c r="F26" s="48" t="inlineStr">
        <is>
          <t>Upcoming</t>
        </is>
      </c>
      <c r="G26" s="37" t="n"/>
      <c r="H26" s="38" t="inlineStr">
        <is>
          <t>95% complete — budget overrun</t>
        </is>
      </c>
    </row>
    <row r="27" ht="19.5" customHeight="1" s="33">
      <c r="A27" s="43" t="inlineStr">
        <is>
          <t>IME-019</t>
        </is>
      </c>
      <c r="B27" s="44" t="inlineStr">
        <is>
          <t>Circular Economy Materials</t>
        </is>
      </c>
      <c r="C27" s="44" t="inlineStr">
        <is>
          <t>Pilot phase report</t>
        </is>
      </c>
      <c r="D27" s="43" t="inlineStr">
        <is>
          <t>2026-08-30</t>
        </is>
      </c>
      <c r="E27" s="43" t="n"/>
      <c r="F27" s="48" t="inlineStr">
        <is>
          <t>Upcoming</t>
        </is>
      </c>
      <c r="G27" s="43" t="n"/>
      <c r="H27" s="44" t="inlineStr">
        <is>
          <t>12 companies in pilot</t>
        </is>
      </c>
    </row>
    <row r="28" ht="19.5" customHeight="1" s="33">
      <c r="A28" s="37" t="inlineStr">
        <is>
          <t>IME-020</t>
        </is>
      </c>
      <c r="B28" s="38" t="inlineStr">
        <is>
          <t>Cross-Border Forum</t>
        </is>
      </c>
      <c r="C28" s="38" t="inlineStr">
        <is>
          <t>Partner country MOU</t>
        </is>
      </c>
      <c r="D28" s="37" t="inlineStr">
        <is>
          <t>2026-06-30</t>
        </is>
      </c>
      <c r="E28" s="37" t="inlineStr">
        <is>
          <t>2026-06-20</t>
        </is>
      </c>
      <c r="F28" s="47" t="inlineStr">
        <is>
          <t>Completed</t>
        </is>
      </c>
      <c r="G28" s="37" t="n"/>
      <c r="H28" s="38" t="inlineStr">
        <is>
          <t>Completed early</t>
        </is>
      </c>
    </row>
    <row r="29" ht="19.5" customHeight="1" s="33">
      <c r="A29" s="43" t="inlineStr">
        <is>
          <t>IME-021</t>
        </is>
      </c>
      <c r="B29" s="44" t="inlineStr">
        <is>
          <t>Energy Storage Analysis</t>
        </is>
      </c>
      <c r="C29" s="44" t="inlineStr">
        <is>
          <t>Draft analysis submission</t>
        </is>
      </c>
      <c r="D29" s="43" t="inlineStr">
        <is>
          <t>2026-07-01</t>
        </is>
      </c>
      <c r="E29" s="43" t="n"/>
      <c r="F29" s="41" t="inlineStr">
        <is>
          <t>Overdue</t>
        </is>
      </c>
      <c r="G29" s="49" t="n">
        <v>14</v>
      </c>
      <c r="H29" s="44" t="inlineStr">
        <is>
          <t>Scope expansion causing delay</t>
        </is>
      </c>
    </row>
    <row r="30" ht="19.5" customHeight="1" s="33">
      <c r="A30" s="37" t="inlineStr">
        <is>
          <t>IME-022</t>
        </is>
      </c>
      <c r="B30" s="38" t="inlineStr">
        <is>
          <t>Offshore Wind Study</t>
        </is>
      </c>
      <c r="C30" s="38" t="inlineStr">
        <is>
          <t>Industry survey close</t>
        </is>
      </c>
      <c r="D30" s="37" t="inlineStr">
        <is>
          <t>2026-07-31</t>
        </is>
      </c>
      <c r="E30" s="37" t="n"/>
      <c r="F30" s="48" t="inlineStr">
        <is>
          <t>Upcoming</t>
        </is>
      </c>
      <c r="G30" s="37" t="n"/>
      <c r="H30" s="38" t="inlineStr">
        <is>
          <t>42% response rate — follow-up sent</t>
        </is>
      </c>
    </row>
    <row r="31" ht="19.5" customHeight="1" s="33">
      <c r="A31" s="43" t="inlineStr">
        <is>
          <t>IME-023</t>
        </is>
      </c>
      <c r="B31" s="44" t="inlineStr">
        <is>
          <t>Climate-Neutral Parks</t>
        </is>
      </c>
      <c r="C31" s="44" t="inlineStr">
        <is>
          <t>Interim site visit report</t>
        </is>
      </c>
      <c r="D31" s="43" t="inlineStr">
        <is>
          <t>2026-08-15</t>
        </is>
      </c>
      <c r="E31" s="43" t="n"/>
      <c r="F31" s="48" t="inlineStr">
        <is>
          <t>Upcoming</t>
        </is>
      </c>
      <c r="G31" s="43" t="n"/>
      <c r="H31" s="44" t="inlineStr">
        <is>
          <t>4/8 visits complete</t>
        </is>
      </c>
    </row>
    <row r="32" ht="19.5" customHeight="1" s="33">
      <c r="A32" s="37" t="inlineStr">
        <is>
          <t>IME-024</t>
        </is>
      </c>
      <c r="B32" s="38" t="inlineStr">
        <is>
          <t>Urban Mobility Plan</t>
        </is>
      </c>
      <c r="C32" s="38" t="inlineStr">
        <is>
          <t>Final deliverables</t>
        </is>
      </c>
      <c r="D32" s="37" t="inlineStr">
        <is>
          <t>2026-08-31</t>
        </is>
      </c>
      <c r="E32" s="37" t="n"/>
      <c r="F32" s="48" t="inlineStr">
        <is>
          <t>Upcoming</t>
        </is>
      </c>
      <c r="G32" s="37" t="n"/>
      <c r="H32" s="38" t="inlineStr">
        <is>
          <t>Tight budget — €6k remaining</t>
        </is>
      </c>
    </row>
    <row r="33" ht="19.5" customHeight="1" s="33">
      <c r="A33" s="43" t="inlineStr">
        <is>
          <t>IME-025</t>
        </is>
      </c>
      <c r="B33" s="44" t="inlineStr">
        <is>
          <t>Biomass Potential Study</t>
        </is>
      </c>
      <c r="C33" s="44" t="inlineStr">
        <is>
          <t>Regional analysis complete</t>
        </is>
      </c>
      <c r="D33" s="43" t="inlineStr">
        <is>
          <t>2026-08-01</t>
        </is>
      </c>
      <c r="E33" s="43" t="n"/>
      <c r="F33" s="48" t="inlineStr">
        <is>
          <t>Upcoming</t>
        </is>
      </c>
      <c r="G33" s="43" t="n"/>
      <c r="H33" s="44" t="inlineStr">
        <is>
          <t>Data collection done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2" min="1" max="1"/>
    <col width="90" customWidth="1" style="32" min="2" max="2"/>
  </cols>
  <sheetData>
    <row r="1" ht="27.75" customHeight="1" s="33">
      <c r="A1" s="34" t="inlineStr">
        <is>
          <t>AI REPORT GENERATION — SYSTEM PROMPT TEMPLATE</t>
        </is>
      </c>
    </row>
    <row r="2" ht="15.75" customHeight="1" s="33">
      <c r="A2" s="35" t="inlineStr">
        <is>
          <t>Copy this prompt into n8n → Claude/GPT node. Replace &lt;&lt;DATA&gt;&gt; with CONSOLIDATED DASHBOARD content.</t>
        </is>
      </c>
    </row>
    <row r="3" ht="21.75" customHeight="1" s="33">
      <c r="A3" s="62" t="inlineStr">
        <is>
          <t>ROLE:</t>
        </is>
      </c>
      <c r="B3" s="63" t="inlineStr">
        <is>
          <t>You are a senior project controlling analyst for dena (Deutsche Energie-Agentur), a German federal energy agency managing 25+ publicly funded projects.</t>
        </is>
      </c>
    </row>
    <row r="4" ht="21.75" customHeight="1" s="33">
      <c r="A4" s="62" t="inlineStr">
        <is>
          <t>TASK:</t>
        </is>
      </c>
      <c r="B4" s="63" t="inlineStr">
        <is>
          <t>Analyse the consolidated project portfolio data below and generate a structured division status report for the IME Division Leadership.</t>
        </is>
      </c>
    </row>
    <row r="5" ht="21.75" customHeight="1" s="33">
      <c r="A5" s="64" t="n"/>
      <c r="B5" s="65" t="n"/>
    </row>
    <row r="6" ht="21.75" customHeight="1" s="33">
      <c r="A6" s="62" t="inlineStr">
        <is>
          <t>REPORT STRUCTURE:</t>
        </is>
      </c>
      <c r="B6" s="63" t="n"/>
    </row>
    <row r="7" ht="21.75" customHeight="1" s="33">
      <c r="A7" s="62" t="inlineStr">
        <is>
          <t>1. Executive Summary</t>
        </is>
      </c>
      <c r="B7" s="63" t="inlineStr">
        <is>
          <t>3–5 sentences. Overall portfolio health, total budget consumed, number of red/amber/green projects, key message for leadership.</t>
        </is>
      </c>
    </row>
    <row r="8" ht="21.75" customHeight="1" s="33">
      <c r="A8" s="62" t="inlineStr">
        <is>
          <t>2. Immediate Actions Required</t>
        </is>
      </c>
      <c r="B8" s="63" t="inlineStr">
        <is>
          <t>List ONLY escalation-flagged projects. For each: project name, issue in 1 sentence, recommended action with owner and deadline.</t>
        </is>
      </c>
    </row>
    <row r="9" ht="21.75" customHeight="1" s="33">
      <c r="A9" s="62" t="inlineStr">
        <is>
          <t>3. Projects at Risk (Amber)</t>
        </is>
      </c>
      <c r="B9" s="63" t="inlineStr">
        <is>
          <t>Brief note per project. What is the risk, what needs monitoring, any upcoming decision points.</t>
        </is>
      </c>
    </row>
    <row r="10" ht="21.75" customHeight="1" s="33">
      <c r="A10" s="62" t="inlineStr">
        <is>
          <t>4. On-Track Projects (Green)</t>
        </is>
      </c>
      <c r="B10" s="63" t="inlineStr">
        <is>
          <t>Confirm status. Flag any milestones due in next 30 days.</t>
        </is>
      </c>
    </row>
    <row r="11" ht="21.75" customHeight="1" s="33">
      <c r="A11" s="62" t="inlineStr">
        <is>
          <t>5. Budget Overview</t>
        </is>
      </c>
      <c r="B11" s="63" t="inlineStr">
        <is>
          <t>Total portfolio spend vs. budget. Any projects &gt;90% consumed with significant time remaining. Any forecast overruns.</t>
        </is>
      </c>
    </row>
    <row r="12" ht="21.75" customHeight="1" s="33">
      <c r="A12" s="62" t="inlineStr">
        <is>
          <t>6. HR &amp; Capacity</t>
        </is>
      </c>
      <c r="B12" s="63" t="inlineStr">
        <is>
          <t>Any projects where person-day utilisation is misaligned with project stage (high utilisation + early stage, or low utilisation + late stage).</t>
        </is>
      </c>
    </row>
    <row r="13" ht="21.75" customHeight="1" s="33">
      <c r="A13" s="62" t="inlineStr">
        <is>
          <t>7. Recommended Leadership Actions</t>
        </is>
      </c>
      <c r="B13" s="63" t="inlineStr">
        <is>
          <t>Max 3 bullet points. Concrete, actionable, with suggested owner.</t>
        </is>
      </c>
    </row>
    <row r="14" ht="21.75" customHeight="1" s="33">
      <c r="A14" s="64" t="n"/>
      <c r="B14" s="65" t="n"/>
    </row>
    <row r="15" ht="21.75" customHeight="1" s="33">
      <c r="A15" s="62" t="inlineStr">
        <is>
          <t>TONE:</t>
        </is>
      </c>
      <c r="B15" s="63" t="inlineStr">
        <is>
          <t>Professional, concise, decision-oriented. Written for a non-technical division head. No jargon.</t>
        </is>
      </c>
    </row>
    <row r="16" ht="21.75" customHeight="1" s="33">
      <c r="A16" s="62" t="inlineStr">
        <is>
          <t>LENGTH:</t>
        </is>
      </c>
      <c r="B16" s="63" t="inlineStr">
        <is>
          <t>Max 700 words. Use clear section headers. Plain text only — no markdown, no bullet symbols beyond dashes.</t>
        </is>
      </c>
    </row>
    <row r="17" ht="21.75" customHeight="1" s="33">
      <c r="A17" s="62" t="inlineStr">
        <is>
          <t>LANGUAGE:</t>
        </is>
      </c>
      <c r="B17" s="63" t="inlineStr">
        <is>
          <t>English.</t>
        </is>
      </c>
    </row>
    <row r="18" ht="21.75" customHeight="1" s="33">
      <c r="A18" s="64" t="n"/>
      <c r="B18" s="65" t="n"/>
    </row>
    <row r="19" ht="21.75" customHeight="1" s="33">
      <c r="A19" s="62" t="inlineStr">
        <is>
          <t>DATA INPUT:</t>
        </is>
      </c>
      <c r="B19" s="63" t="inlineStr">
        <is>
          <t>&lt;&lt;PASTE CONSOLIDATED DASHBOARD DATA HERE — copy visible cells from CONSOLIDATED DASHBOARD sheet&gt;&gt;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2026-06-15T09:18:43Z</dcterms:created>
  <dcterms:modified xmlns:dcterms="http://purl.org/dc/terms/" xmlns:xsi="http://www.w3.org/2001/XMLSchema-instance" xsi:type="dcterms:W3CDTF">2026-06-15T12:40:47Z</dcterms:modified>
  <cp:revision>0</cp:revision>
</cp:coreProperties>
</file>