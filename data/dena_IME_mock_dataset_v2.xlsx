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SOLIDATED DASHBOARD" sheetId="1" state="visible" r:id="rId3"/>
    <sheet name="SOURCE 1 — SAP Finance" sheetId="2" state="visible" r:id="rId4"/>
    <sheet name="SOURCE 2 — PL Status Input" sheetId="3" state="visible" r:id="rId5"/>
    <sheet name="SOURCE 3 — HR Timesheet" sheetId="4" state="visible" r:id="rId6"/>
    <sheet name="SOURCE 4 — Milestone Tracker" sheetId="5" state="visible" r:id="rId7"/>
    <sheet name="AI Prompt Templa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<sst xmlns="http://schemas.openxmlformats.org/spreadsheetml/2006/main" count="829" uniqueCount="427">
  <si>
    <t xml:space="preserve">CONSOLIDATED PORTFOLIO DASHBOARD — IME Division  |  June 2026  |  AI-Generated Draft</t>
  </si>
  <si>
    <t xml:space="preserve">Auto-consolidated from Sources 1–4. Human review required before distribution to Division Leadership.</t>
  </si>
  <si>
    <t xml:space="preserve">Project ID</t>
  </si>
  <si>
    <t xml:space="preserve">Project Name</t>
  </si>
  <si>
    <t xml:space="preserve">Funder</t>
  </si>
  <si>
    <t xml:space="preserve">Budget (€)</t>
  </si>
  <si>
    <t xml:space="preserve">Spend YTD (€)</t>
  </si>
  <si>
    <t xml:space="preserve">Budget %</t>
  </si>
  <si>
    <t xml:space="preserve">HR Utilisation %</t>
  </si>
  <si>
    <t xml:space="preserve">Milestone Status</t>
  </si>
  <si>
    <t xml:space="preserve">Overall Status</t>
  </si>
  <si>
    <t xml:space="preserve">Escalation?</t>
  </si>
  <si>
    <t xml:space="preserve">Next Milestone</t>
  </si>
  <si>
    <t xml:space="preserve">Key Risk / Action Required</t>
  </si>
  <si>
    <t xml:space="preserve">IME-001</t>
  </si>
  <si>
    <t xml:space="preserve">Industrial Energy Efficiency Programme</t>
  </si>
  <si>
    <t xml:space="preserve">BMWK</t>
  </si>
  <si>
    <t xml:space="preserve">1 overdue</t>
  </si>
  <si>
    <t xml:space="preserve">Red</t>
  </si>
  <si>
    <t xml:space="preserve">Yes</t>
  </si>
  <si>
    <t xml:space="preserve">Extension approval</t>
  </si>
  <si>
    <t xml:space="preserve">URGENT: No-cost extension needed by June 30. Budget critical.</t>
  </si>
  <si>
    <t xml:space="preserve">IME-002</t>
  </si>
  <si>
    <t xml:space="preserve">Hydrogen Readiness SME Network</t>
  </si>
  <si>
    <t xml:space="preserve">EU Horizon</t>
  </si>
  <si>
    <t xml:space="preserve">On track</t>
  </si>
  <si>
    <t xml:space="preserve">Green</t>
  </si>
  <si>
    <t xml:space="preserve">No</t>
  </si>
  <si>
    <t xml:space="preserve">Workshop #2 Jul 15</t>
  </si>
  <si>
    <t xml:space="preserve">On track. Partner engagement exceeds targets.</t>
  </si>
  <si>
    <t xml:space="preserve">IME-003</t>
  </si>
  <si>
    <t xml:space="preserve">Mobility Transition NRW — Phase II</t>
  </si>
  <si>
    <t xml:space="preserve">Amber</t>
  </si>
  <si>
    <t xml:space="preserve">Interim report Jul 1</t>
  </si>
  <si>
    <t xml:space="preserve">Funder meeting overdue 31 days. Budget overrun ~€6k projected.</t>
  </si>
  <si>
    <t xml:space="preserve">IME-004</t>
  </si>
  <si>
    <t xml:space="preserve">Building Renovation Accelerator</t>
  </si>
  <si>
    <t xml:space="preserve">KfW</t>
  </si>
  <si>
    <t xml:space="preserve">Site selection Aug 31</t>
  </si>
  <si>
    <t xml:space="preserve">On track. 3/5 pilot sites confirmed.</t>
  </si>
  <si>
    <t xml:space="preserve">IME-005</t>
  </si>
  <si>
    <t xml:space="preserve">Industrial Heat Pump Market Study</t>
  </si>
  <si>
    <t xml:space="preserve">Delayed</t>
  </si>
  <si>
    <t xml:space="preserve">Publication Aug 15</t>
  </si>
  <si>
    <t xml:space="preserve">Minor overrun. Publication delayed 3 weeks.</t>
  </si>
  <si>
    <t xml:space="preserve">IME-006</t>
  </si>
  <si>
    <t xml:space="preserve">EV Fleet Transition — Public Sector</t>
  </si>
  <si>
    <t xml:space="preserve">BMDV</t>
  </si>
  <si>
    <t xml:space="preserve">Review Jul 30</t>
  </si>
  <si>
    <t xml:space="preserve">On track. Strong municipal engagement.</t>
  </si>
  <si>
    <t xml:space="preserve">IME-007</t>
  </si>
  <si>
    <t xml:space="preserve">Energy Audit Digital Platform</t>
  </si>
  <si>
    <t xml:space="preserve">EU LIFE</t>
  </si>
  <si>
    <t xml:space="preserve">Critical</t>
  </si>
  <si>
    <t xml:space="preserve">Revised go-live Jul 31</t>
  </si>
  <si>
    <t xml:space="preserve">URGENT: IT integration failure. Vendor unresponsive. Management escalation needed.</t>
  </si>
  <si>
    <t xml:space="preserve">IME-008</t>
  </si>
  <si>
    <t xml:space="preserve">Carbon Neutrality Roadmap</t>
  </si>
  <si>
    <t xml:space="preserve">Board setup Jul 15</t>
  </si>
  <si>
    <t xml:space="preserve">On track. Advisory board 6/8 confirmed.</t>
  </si>
  <si>
    <t xml:space="preserve">IME-009</t>
  </si>
  <si>
    <t xml:space="preserve">District Heating Transition</t>
  </si>
  <si>
    <t xml:space="preserve">BMUV</t>
  </si>
  <si>
    <t xml:space="preserve">MOU signing Aug 1</t>
  </si>
  <si>
    <t xml:space="preserve">On track. Legal review causing minor delay.</t>
  </si>
  <si>
    <t xml:space="preserve">IME-010</t>
  </si>
  <si>
    <t xml:space="preserve">Smart Industry Energy Monitoring</t>
  </si>
  <si>
    <t xml:space="preserve">EU Interreg</t>
  </si>
  <si>
    <t xml:space="preserve">At risk</t>
  </si>
  <si>
    <t xml:space="preserve">Framework Jul 31</t>
  </si>
  <si>
    <t xml:space="preserve">Partner agreements delayed. Risk to July milestone.</t>
  </si>
  <si>
    <t xml:space="preserve">IME-011</t>
  </si>
  <si>
    <t xml:space="preserve">Energy Efficiency Audit SME</t>
  </si>
  <si>
    <t xml:space="preserve">Q3 cycle Jul 15</t>
  </si>
  <si>
    <t xml:space="preserve">URGENT: Only €7k remaining. 3 audits outstanding. Emergency budget review needed.</t>
  </si>
  <si>
    <t xml:space="preserve">IME-012</t>
  </si>
  <si>
    <t xml:space="preserve">Green Hydrogen Production Study</t>
  </si>
  <si>
    <t xml:space="preserve">Interviews Jul 1</t>
  </si>
  <si>
    <t xml:space="preserve">On track. Early stage.</t>
  </si>
  <si>
    <t xml:space="preserve">IME-013</t>
  </si>
  <si>
    <t xml:space="preserve">Sector Coupling Innovation Network</t>
  </si>
  <si>
    <t xml:space="preserve">Conference Sep 15</t>
  </si>
  <si>
    <t xml:space="preserve">On track. Venue TBC.</t>
  </si>
  <si>
    <t xml:space="preserve">IME-014</t>
  </si>
  <si>
    <t xml:space="preserve">Low-Carbon Transport Feasibility</t>
  </si>
  <si>
    <t xml:space="preserve">Final report Jul 31</t>
  </si>
  <si>
    <t xml:space="preserve">Budget nearly exhausted. Last deliverable only remaining.</t>
  </si>
  <si>
    <t xml:space="preserve">IME-015</t>
  </si>
  <si>
    <t xml:space="preserve">Smart Grid Pilot — Rural Areas</t>
  </si>
  <si>
    <t xml:space="preserve">Completed</t>
  </si>
  <si>
    <t xml:space="preserve">Field measure Aug</t>
  </si>
  <si>
    <t xml:space="preserve">Milestone completed ahead of schedule.</t>
  </si>
  <si>
    <t xml:space="preserve">IME-016</t>
  </si>
  <si>
    <t xml:space="preserve">Industrial Decarbonisation Roadmap</t>
  </si>
  <si>
    <t xml:space="preserve">TBD</t>
  </si>
  <si>
    <t xml:space="preserve">Inception report approved. Project on track.</t>
  </si>
  <si>
    <t xml:space="preserve">IME-017</t>
  </si>
  <si>
    <t xml:space="preserve">Renewable Energy Communities Study</t>
  </si>
  <si>
    <t xml:space="preserve">Case study Sep 1</t>
  </si>
  <si>
    <t xml:space="preserve">Two deliverables converging in September. Deadline risk.</t>
  </si>
  <si>
    <t xml:space="preserve">IME-018</t>
  </si>
  <si>
    <t xml:space="preserve">Building Decarbonisation Policy Brief</t>
  </si>
  <si>
    <t xml:space="preserve">Policy brief Jul 15</t>
  </si>
  <si>
    <t xml:space="preserve">Budget overrun incurred. Sign-off needed for final editing costs.</t>
  </si>
  <si>
    <t xml:space="preserve">IME-019</t>
  </si>
  <si>
    <t xml:space="preserve">Circular Economy Energy Materials</t>
  </si>
  <si>
    <t xml:space="preserve">Pilot report Aug 30</t>
  </si>
  <si>
    <t xml:space="preserve">Strong industry engagement. On track.</t>
  </si>
  <si>
    <t xml:space="preserve">IME-020</t>
  </si>
  <si>
    <t xml:space="preserve">Cross-Border Energy Transition Forum</t>
  </si>
  <si>
    <t xml:space="preserve">Forum Nov</t>
  </si>
  <si>
    <t xml:space="preserve">MOU completed early. On track.</t>
  </si>
  <si>
    <t xml:space="preserve">IME-021</t>
  </si>
  <si>
    <t xml:space="preserve">Energy Storage Market Analysis</t>
  </si>
  <si>
    <t xml:space="preserve">Overdue</t>
  </si>
  <si>
    <t xml:space="preserve">Revised submission</t>
  </si>
  <si>
    <t xml:space="preserve">URGENT: Scope expanded without budget. Risk of overrun AND late delivery.</t>
  </si>
  <si>
    <t xml:space="preserve">IME-022</t>
  </si>
  <si>
    <t xml:space="preserve">Offshore Wind Value Chain Study</t>
  </si>
  <si>
    <t xml:space="preserve">Survey close Jul 31</t>
  </si>
  <si>
    <t xml:space="preserve">Survey response below target. Follow-up campaign active.</t>
  </si>
  <si>
    <t xml:space="preserve">IME-023</t>
  </si>
  <si>
    <t xml:space="preserve">Climate-Neutral Industrial Parks</t>
  </si>
  <si>
    <t xml:space="preserve">Interim report Aug 15</t>
  </si>
  <si>
    <t xml:space="preserve">4/8 site visits complete. On track.</t>
  </si>
  <si>
    <t xml:space="preserve">IME-024</t>
  </si>
  <si>
    <t xml:space="preserve">Urban Mobility Transition Plan</t>
  </si>
  <si>
    <t xml:space="preserve">Final deliverables Aug</t>
  </si>
  <si>
    <t xml:space="preserve">Budget tight (€6k). Manageable if no scope changes.</t>
  </si>
  <si>
    <t xml:space="preserve">IME-025</t>
  </si>
  <si>
    <t xml:space="preserve">Biomass Energy Potential Study</t>
  </si>
  <si>
    <t xml:space="preserve">Analysis Aug 1</t>
  </si>
  <si>
    <t xml:space="preserve">Data collection complete. Analysis phase starting.</t>
  </si>
  <si>
    <t xml:space="preserve">PORTFOLIO TOTALS</t>
  </si>
  <si>
    <t xml:space="preserve">PORTFOLIO HEALTH SUMMARY</t>
  </si>
  <si>
    <t xml:space="preserve">Total Projects</t>
  </si>
  <si>
    <t xml:space="preserve">25</t>
  </si>
  <si>
    <t xml:space="preserve">🟢 Green</t>
  </si>
  <si>
    <t xml:space="preserve">🟡 Amber</t>
  </si>
  <si>
    <t xml:space="preserve">🔴 Red</t>
  </si>
  <si>
    <t xml:space="preserve">Escalations Required</t>
  </si>
  <si>
    <t xml:space="preserve">Overdue Milestones</t>
  </si>
  <si>
    <t xml:space="preserve">5</t>
  </si>
  <si>
    <t xml:space="preserve">SOURCE 1: SAP Finance Export — Budget &amp; Cost Data (Auto-Export, 1st of Month)</t>
  </si>
  <si>
    <t xml:space="preserve">DO NOT EDIT — Raw system export. Division Controlling reads this sheet automatically.</t>
  </si>
  <si>
    <t xml:space="preserve">Cost Centre</t>
  </si>
  <si>
    <t xml:space="preserve">Contract Value (€)</t>
  </si>
  <si>
    <t xml:space="preserve">Approved Budget (€)</t>
  </si>
  <si>
    <t xml:space="preserve">Commitments (€)</t>
  </si>
  <si>
    <t xml:space="preserve">Actual Spend YTD (€)</t>
  </si>
  <si>
    <t xml:space="preserve">Forecast Full Year (€)</t>
  </si>
  <si>
    <t xml:space="preserve">Budget Remaining (€)</t>
  </si>
  <si>
    <t xml:space="preserve">Fiscal Year</t>
  </si>
  <si>
    <t xml:space="preserve">IME-100-01</t>
  </si>
  <si>
    <t xml:space="preserve">IME-100-02</t>
  </si>
  <si>
    <t xml:space="preserve">IME-100-03</t>
  </si>
  <si>
    <t xml:space="preserve">IME-100-04</t>
  </si>
  <si>
    <t xml:space="preserve">IME-100-05</t>
  </si>
  <si>
    <t xml:space="preserve">IME-100-06</t>
  </si>
  <si>
    <t xml:space="preserve">IME-100-07</t>
  </si>
  <si>
    <t xml:space="preserve">IME-100-08</t>
  </si>
  <si>
    <t xml:space="preserve">IME-100-09</t>
  </si>
  <si>
    <t xml:space="preserve">IME-100-10</t>
  </si>
  <si>
    <t xml:space="preserve">IME-200-01</t>
  </si>
  <si>
    <t xml:space="preserve">IME-200-02</t>
  </si>
  <si>
    <t xml:space="preserve">IME-200-03</t>
  </si>
  <si>
    <t xml:space="preserve">IME-200-04</t>
  </si>
  <si>
    <t xml:space="preserve">IME-200-05</t>
  </si>
  <si>
    <t xml:space="preserve">IME-300-01</t>
  </si>
  <si>
    <t xml:space="preserve">IME-300-02</t>
  </si>
  <si>
    <t xml:space="preserve">IME-300-03</t>
  </si>
  <si>
    <t xml:space="preserve">IME-300-04</t>
  </si>
  <si>
    <t xml:space="preserve">IME-300-05</t>
  </si>
  <si>
    <t xml:space="preserve">IME-400-01</t>
  </si>
  <si>
    <t xml:space="preserve">IME-400-02</t>
  </si>
  <si>
    <t xml:space="preserve">IME-400-03</t>
  </si>
  <si>
    <t xml:space="preserve">IME-400-04</t>
  </si>
  <si>
    <t xml:space="preserve">IME-400-05</t>
  </si>
  <si>
    <t xml:space="preserve">SOURCE 2: Project Lead Monthly Status Input — June 2026</t>
  </si>
  <si>
    <t xml:space="preserve">Yellow cells to be completed by Project Leads by 1st of each month. Do NOT modify grey columns.</t>
  </si>
  <si>
    <t xml:space="preserve">Project Lead</t>
  </si>
  <si>
    <t xml:space="preserve">Overall Status
(Green/Amber/Red)</t>
  </si>
  <si>
    <t xml:space="preserve">Key Achievement This Month</t>
  </si>
  <si>
    <t xml:space="preserve">Main Risk / Issue</t>
  </si>
  <si>
    <t xml:space="preserve">Escalation Needed?
(Yes/No)</t>
  </si>
  <si>
    <t xml:space="preserve">Free Text Update</t>
  </si>
  <si>
    <t xml:space="preserve">Dr. A. Müller</t>
  </si>
  <si>
    <t xml:space="preserve">Final report 80% complete</t>
  </si>
  <si>
    <t xml:space="preserve">Budget nearly exhausted, extension request pending</t>
  </si>
  <si>
    <t xml:space="preserve">Urgent: need approval for 2-month no-cost extension from BMWK before June 30.</t>
  </si>
  <si>
    <t xml:space="preserve">Ms. B. Weber</t>
  </si>
  <si>
    <t xml:space="preserve">30 new SME partners onboarded</t>
  </si>
  <si>
    <t xml:space="preserve">None significant</t>
  </si>
  <si>
    <t xml:space="preserve">Workshop #2 preparation on track. Partner engagement exceeds KPI targets.</t>
  </si>
  <si>
    <t xml:space="preserve">Mr. C. Schmidt</t>
  </si>
  <si>
    <t xml:space="preserve">Interim evaluation submitted</t>
  </si>
  <si>
    <t xml:space="preserve">Budget overrun likely by Q3</t>
  </si>
  <si>
    <t xml:space="preserve">Cost overrun of ~€6k projected. Requesting reallocation from travel budget.</t>
  </si>
  <si>
    <t xml:space="preserve">Ms. D. Fischer</t>
  </si>
  <si>
    <t xml:space="preserve">Pilot site selection shortlist ready</t>
  </si>
  <si>
    <t xml:space="preserve">Stakeholder alignment slower than planned</t>
  </si>
  <si>
    <t xml:space="preserve">3 pilot sites confirmed. 2 more in negotiation. On track for August milestone.</t>
  </si>
  <si>
    <t xml:space="preserve">Dr. E. Klein</t>
  </si>
  <si>
    <t xml:space="preserve">Draft publication reviewed</t>
  </si>
  <si>
    <t xml:space="preserve">Minor budget overrun (€1k)</t>
  </si>
  <si>
    <t xml:space="preserve">Final publication delayed by 3 weeks due to external review feedback.</t>
  </si>
  <si>
    <t xml:space="preserve">Mr. F. Bauer</t>
  </si>
  <si>
    <t xml:space="preserve">Mid-term review meeting scheduled</t>
  </si>
  <si>
    <t xml:space="preserve">None</t>
  </si>
  <si>
    <t xml:space="preserve">Strong municipal partner engagement. Mid-term stakeholder review confirmed July 30.</t>
  </si>
  <si>
    <t xml:space="preserve">Ms. G. Hoffmann</t>
  </si>
  <si>
    <t xml:space="preserve">Platform 90% complete</t>
  </si>
  <si>
    <t xml:space="preserve">Go-live delayed — IT integration issues</t>
  </si>
  <si>
    <t xml:space="preserve">Critical: API integration with third-party system failing. IT vendor unresponsive. Need escalation to management.</t>
  </si>
  <si>
    <t xml:space="preserve">Carbon Neutrality Roadmap — Chemical Sector</t>
  </si>
  <si>
    <t xml:space="preserve">Dr. H. Braun</t>
  </si>
  <si>
    <t xml:space="preserve">Advisory board members confirmed</t>
  </si>
  <si>
    <t xml:space="preserve">6 of 8 board members confirmed. Kick-off meeting planned for July 15.</t>
  </si>
  <si>
    <t xml:space="preserve">District Heating Transition — East Germany</t>
  </si>
  <si>
    <t xml:space="preserve">Mr. I. Richter</t>
  </si>
  <si>
    <t xml:space="preserve">3 municipal MOUs signed</t>
  </si>
  <si>
    <t xml:space="preserve">Legal review slower than expected</t>
  </si>
  <si>
    <t xml:space="preserve">Strong progress on partner agreements. Legal team backlog causing 2-week delay.</t>
  </si>
  <si>
    <t xml:space="preserve">Smart Industry Energy Monitoring Pilot</t>
  </si>
  <si>
    <t xml:space="preserve">Ms. J. Lange</t>
  </si>
  <si>
    <t xml:space="preserve">Data framework draft complete</t>
  </si>
  <si>
    <t xml:space="preserve">Partner data sharing agreements delayed</t>
  </si>
  <si>
    <t xml:space="preserve">2 of 5 partner agreements signed. Remaining 3 in legal review. Risk to July milestone.</t>
  </si>
  <si>
    <t xml:space="preserve">Energy Efficiency Audit SME Programme</t>
  </si>
  <si>
    <t xml:space="preserve">Mr. K. Wolf</t>
  </si>
  <si>
    <t xml:space="preserve">Q2 audit report submitted</t>
  </si>
  <si>
    <t xml:space="preserve">Budget critically low — project at risk</t>
  </si>
  <si>
    <t xml:space="preserve">Only €7k remaining. 3 planned audits still outstanding. Need emergency budget review.</t>
  </si>
  <si>
    <t xml:space="preserve">Ms. L. Braun</t>
  </si>
  <si>
    <t xml:space="preserve">Literature review complete</t>
  </si>
  <si>
    <t xml:space="preserve">On track. First expert interviews scheduled for July.</t>
  </si>
  <si>
    <t xml:space="preserve">Dr. M. Koch</t>
  </si>
  <si>
    <t xml:space="preserve">Annual conference planned</t>
  </si>
  <si>
    <t xml:space="preserve">Venue confirmation pending</t>
  </si>
  <si>
    <t xml:space="preserve">Programme committee established. Speaker confirmations ongoing.</t>
  </si>
  <si>
    <t xml:space="preserve">Mr. N. Becker</t>
  </si>
  <si>
    <t xml:space="preserve">Stakeholder mapping complete</t>
  </si>
  <si>
    <t xml:space="preserve">Budget nearly consumed</t>
  </si>
  <si>
    <t xml:space="preserve">Only €1k remaining. Final report is the last deliverable — should be sufficient.</t>
  </si>
  <si>
    <t xml:space="preserve">Ms. O. Schäfer</t>
  </si>
  <si>
    <t xml:space="preserve">Technical partner MOU signed</t>
  </si>
  <si>
    <t xml:space="preserve">Grid operator partnership confirmed. Field measurements starting August.</t>
  </si>
  <si>
    <t xml:space="preserve">Mr. P. Wagner</t>
  </si>
  <si>
    <t xml:space="preserve">Inception report approved</t>
  </si>
  <si>
    <t xml:space="preserve">Project formally started. Team fully onboarded.</t>
  </si>
  <si>
    <t xml:space="preserve">Dr. Q. Zimmermann</t>
  </si>
  <si>
    <t xml:space="preserve">Case study selection complete</t>
  </si>
  <si>
    <t xml:space="preserve">Funder reporting deadline conflict</t>
  </si>
  <si>
    <t xml:space="preserve">Two deliverables due same week in September. Requesting deadline adjustment from BMWK.</t>
  </si>
  <si>
    <t xml:space="preserve">Ms. R. Neumann</t>
  </si>
  <si>
    <t xml:space="preserve">Policy brief 95% complete</t>
  </si>
  <si>
    <t xml:space="preserve">Budget exhausted</t>
  </si>
  <si>
    <t xml:space="preserve">€4k overrun already incurred. Final editing and translation costs exceed budget. Need sign-off.</t>
  </si>
  <si>
    <t xml:space="preserve">Mr. S. Schwarz</t>
  </si>
  <si>
    <t xml:space="preserve">Supply chain mapping complete</t>
  </si>
  <si>
    <t xml:space="preserve">Strong industry engagement. 12 companies participating in pilot phase.</t>
  </si>
  <si>
    <t xml:space="preserve">Ms. T. Schulz</t>
  </si>
  <si>
    <t xml:space="preserve">Partner country confirmed</t>
  </si>
  <si>
    <t xml:space="preserve">Poland and Czech Republic confirmed as partner countries. Forum date set for November.</t>
  </si>
  <si>
    <t xml:space="preserve">Dr. U. Krause</t>
  </si>
  <si>
    <t xml:space="preserve">Draft analysis 70% complete</t>
  </si>
  <si>
    <t xml:space="preserve">Budget overrun and deadline risk</t>
  </si>
  <si>
    <t xml:space="preserve">Scope expanded by funder without budget increase. Risk of both overrun and late delivery.</t>
  </si>
  <si>
    <t xml:space="preserve">Ms. V. Hartmann</t>
  </si>
  <si>
    <t xml:space="preserve">Industry survey launched</t>
  </si>
  <si>
    <t xml:space="preserve">Survey response rate lower than expected</t>
  </si>
  <si>
    <t xml:space="preserve">42% response rate so far. Follow-up campaign planned. Target is 60% by July 31.</t>
  </si>
  <si>
    <t xml:space="preserve">Mr. W. Lorenz</t>
  </si>
  <si>
    <t xml:space="preserve">Site visit programme started</t>
  </si>
  <si>
    <t xml:space="preserve">4 of 8 site visits completed. Findings being documented for interim report.</t>
  </si>
  <si>
    <t xml:space="preserve">Ms. X. Lehmann</t>
  </si>
  <si>
    <t xml:space="preserve">City partner survey complete</t>
  </si>
  <si>
    <t xml:space="preserve">Budget nearly exhausted</t>
  </si>
  <si>
    <t xml:space="preserve">€6k remaining for final two deliverables. Tight but manageable if no scope changes.</t>
  </si>
  <si>
    <t xml:space="preserve">Dr. Y. Maier</t>
  </si>
  <si>
    <t xml:space="preserve">Regional data collection complete</t>
  </si>
  <si>
    <t xml:space="preserve">Data from all 16 federal states collected. Analysis phase starting July.</t>
  </si>
  <si>
    <t xml:space="preserve">SOURCE 3: HR Timesheet Export — Person-Days by Project (May 2026)</t>
  </si>
  <si>
    <t xml:space="preserve">Auto-export from HR system. Shows planned vs. actual person-days per project lead.</t>
  </si>
  <si>
    <t xml:space="preserve">Planned PD
(Full Project)</t>
  </si>
  <si>
    <t xml:space="preserve">Actual PD
(To Date)</t>
  </si>
  <si>
    <t xml:space="preserve">Remaining PD
(Planned)</t>
  </si>
  <si>
    <t xml:space="preserve">Utilisation %</t>
  </si>
  <si>
    <t xml:space="preserve">SOURCE 4: Milestone Tracker — Planned vs. Actual (Updated by Project Leads)</t>
  </si>
  <si>
    <t xml:space="preserve">All milestones for current reporting period. Overdue = planned date passed without completion.</t>
  </si>
  <si>
    <t xml:space="preserve">Milestone Description</t>
  </si>
  <si>
    <t xml:space="preserve">Planned Date</t>
  </si>
  <si>
    <t xml:space="preserve">Actual Date
(if reached)</t>
  </si>
  <si>
    <t xml:space="preserve">Status</t>
  </si>
  <si>
    <t xml:space="preserve">Days Overdue
(if applicable)</t>
  </si>
  <si>
    <t xml:space="preserve">Notes</t>
  </si>
  <si>
    <t xml:space="preserve">Industrial Energy Efficiency</t>
  </si>
  <si>
    <t xml:space="preserve">Final report submission</t>
  </si>
  <si>
    <t xml:space="preserve">2026-06-30</t>
  </si>
  <si>
    <t xml:space="preserve">Extension request submitted to BMWK</t>
  </si>
  <si>
    <t xml:space="preserve">Project closure meeting</t>
  </si>
  <si>
    <t xml:space="preserve">2026-07-15</t>
  </si>
  <si>
    <t xml:space="preserve">Upcoming</t>
  </si>
  <si>
    <t xml:space="preserve">Dependent on extension approval</t>
  </si>
  <si>
    <t xml:space="preserve">Hydrogen SME Network</t>
  </si>
  <si>
    <t xml:space="preserve">Stakeholder workshop #2</t>
  </si>
  <si>
    <t xml:space="preserve">Venue confirmed, 45 registrations</t>
  </si>
  <si>
    <t xml:space="preserve">Partner network report Q2</t>
  </si>
  <si>
    <t xml:space="preserve">2026-06-28</t>
  </si>
  <si>
    <t xml:space="preserve">Submitted 2 days early</t>
  </si>
  <si>
    <t xml:space="preserve">Mobility NRW Phase II</t>
  </si>
  <si>
    <t xml:space="preserve">Interim evaluation report</t>
  </si>
  <si>
    <t xml:space="preserve">2026-07-01</t>
  </si>
  <si>
    <t xml:space="preserve">Draft 80% complete</t>
  </si>
  <si>
    <t xml:space="preserve">Funder review meeting</t>
  </si>
  <si>
    <t xml:space="preserve">2026-05-15</t>
  </si>
  <si>
    <t xml:space="preserve">Meeting postponed by funder to July</t>
  </si>
  <si>
    <t xml:space="preserve">Building Renovation</t>
  </si>
  <si>
    <t xml:space="preserve">Pilot site selection complete</t>
  </si>
  <si>
    <t xml:space="preserve">2026-08-31</t>
  </si>
  <si>
    <t xml:space="preserve">3 of 5 sites confirmed</t>
  </si>
  <si>
    <t xml:space="preserve">Heat Pump Market Study</t>
  </si>
  <si>
    <t xml:space="preserve">Final publication</t>
  </si>
  <si>
    <t xml:space="preserve">2026-08-15</t>
  </si>
  <si>
    <t xml:space="preserve">Delayed 3 weeks from original plan</t>
  </si>
  <si>
    <t xml:space="preserve">EV Fleet Transition</t>
  </si>
  <si>
    <t xml:space="preserve">Mid-term stakeholder review</t>
  </si>
  <si>
    <t xml:space="preserve">2026-07-30</t>
  </si>
  <si>
    <t xml:space="preserve">Agenda drafted</t>
  </si>
  <si>
    <t xml:space="preserve">Energy Audit Platform</t>
  </si>
  <si>
    <t xml:space="preserve">Platform go-live</t>
  </si>
  <si>
    <t xml:space="preserve">2026-06-01</t>
  </si>
  <si>
    <t xml:space="preserve">IT integration failure — escalated</t>
  </si>
  <si>
    <t xml:space="preserve">Revised go-live target</t>
  </si>
  <si>
    <t xml:space="preserve">2026-07-31</t>
  </si>
  <si>
    <t xml:space="preserve">Contingent on IT resolution</t>
  </si>
  <si>
    <t xml:space="preserve">Advisory board setup</t>
  </si>
  <si>
    <t xml:space="preserve">6/8 members confirmed</t>
  </si>
  <si>
    <t xml:space="preserve">District Heating</t>
  </si>
  <si>
    <t xml:space="preserve">Municipal partner agreements</t>
  </si>
  <si>
    <t xml:space="preserve">2026-08-01</t>
  </si>
  <si>
    <t xml:space="preserve">3 MOUs signed, 2 pending legal</t>
  </si>
  <si>
    <t xml:space="preserve">Smart Industry Monitoring</t>
  </si>
  <si>
    <t xml:space="preserve">Data collection framework sign-off</t>
  </si>
  <si>
    <t xml:space="preserve">2/5 partner agreements complete</t>
  </si>
  <si>
    <t xml:space="preserve">SME Audit Programme</t>
  </si>
  <si>
    <t xml:space="preserve">Q2 audit report</t>
  </si>
  <si>
    <t xml:space="preserve">2026-06-29</t>
  </si>
  <si>
    <t xml:space="preserve">Submitted on time</t>
  </si>
  <si>
    <t xml:space="preserve">Q3 audit cycle start</t>
  </si>
  <si>
    <t xml:space="preserve">At risk — budget critically low</t>
  </si>
  <si>
    <t xml:space="preserve">Green Hydrogen Study</t>
  </si>
  <si>
    <t xml:space="preserve">Expert interview series start</t>
  </si>
  <si>
    <t xml:space="preserve">8 interviews scheduled</t>
  </si>
  <si>
    <t xml:space="preserve">Sector Coupling Network</t>
  </si>
  <si>
    <t xml:space="preserve">Annual conference</t>
  </si>
  <si>
    <t xml:space="preserve">2026-09-15</t>
  </si>
  <si>
    <t xml:space="preserve">Venue TBC</t>
  </si>
  <si>
    <t xml:space="preserve">Low-Carbon Transport</t>
  </si>
  <si>
    <t xml:space="preserve">Final feasibility report</t>
  </si>
  <si>
    <t xml:space="preserve">Last deliverable — nearly complete</t>
  </si>
  <si>
    <t xml:space="preserve">Smart Grid Pilot</t>
  </si>
  <si>
    <t xml:space="preserve">Technical partner MOU</t>
  </si>
  <si>
    <t xml:space="preserve">2026-06-25</t>
  </si>
  <si>
    <t xml:space="preserve">Signed ahead of schedule</t>
  </si>
  <si>
    <t xml:space="preserve">Industrial Decarbonisation</t>
  </si>
  <si>
    <t xml:space="preserve">Inception report approval</t>
  </si>
  <si>
    <t xml:space="preserve">Approved on deadline</t>
  </si>
  <si>
    <t xml:space="preserve">Renewable Energy Communities</t>
  </si>
  <si>
    <t xml:space="preserve">Case study report</t>
  </si>
  <si>
    <t xml:space="preserve">2026-09-01</t>
  </si>
  <si>
    <t xml:space="preserve">Two deliverables converging — risk</t>
  </si>
  <si>
    <t xml:space="preserve">Building Policy Brief</t>
  </si>
  <si>
    <t xml:space="preserve">Final policy brief</t>
  </si>
  <si>
    <t xml:space="preserve">95% complete — budget overrun</t>
  </si>
  <si>
    <t xml:space="preserve">Circular Economy Materials</t>
  </si>
  <si>
    <t xml:space="preserve">Pilot phase report</t>
  </si>
  <si>
    <t xml:space="preserve">2026-08-30</t>
  </si>
  <si>
    <t xml:space="preserve">12 companies in pilot</t>
  </si>
  <si>
    <t xml:space="preserve">Cross-Border Forum</t>
  </si>
  <si>
    <t xml:space="preserve">Partner country MOU</t>
  </si>
  <si>
    <t xml:space="preserve">2026-06-20</t>
  </si>
  <si>
    <t xml:space="preserve">Completed early</t>
  </si>
  <si>
    <t xml:space="preserve">Energy Storage Analysis</t>
  </si>
  <si>
    <t xml:space="preserve">Draft analysis submission</t>
  </si>
  <si>
    <t xml:space="preserve">Scope expansion causing delay</t>
  </si>
  <si>
    <t xml:space="preserve">Offshore Wind Study</t>
  </si>
  <si>
    <t xml:space="preserve">Industry survey close</t>
  </si>
  <si>
    <t xml:space="preserve">42% response rate — follow-up sent</t>
  </si>
  <si>
    <t xml:space="preserve">Climate-Neutral Parks</t>
  </si>
  <si>
    <t xml:space="preserve">Interim site visit report</t>
  </si>
  <si>
    <t xml:space="preserve">4/8 visits complete</t>
  </si>
  <si>
    <t xml:space="preserve">Urban Mobility Plan</t>
  </si>
  <si>
    <t xml:space="preserve">Final deliverables</t>
  </si>
  <si>
    <t xml:space="preserve">Tight budget — €6k remaining</t>
  </si>
  <si>
    <t xml:space="preserve">Biomass Potential Study</t>
  </si>
  <si>
    <t xml:space="preserve">Regional analysis complete</t>
  </si>
  <si>
    <t xml:space="preserve">Data collection done</t>
  </si>
  <si>
    <t xml:space="preserve">AI REPORT GENERATION — SYSTEM PROMPT TEMPLATE</t>
  </si>
  <si>
    <t xml:space="preserve">Copy this prompt into n8n → Claude/GPT node. Replace &lt;&lt;DATA&gt;&gt; with CONSOLIDATED DASHBOARD content.</t>
  </si>
  <si>
    <t xml:space="preserve">ROLE:</t>
  </si>
  <si>
    <t xml:space="preserve">You are a senior project controlling analyst for dena (Deutsche Energie-Agentur), a German federal energy agency managing 25+ publicly funded projects.</t>
  </si>
  <si>
    <t xml:space="preserve">TASK:</t>
  </si>
  <si>
    <t xml:space="preserve">Analyse the consolidated project portfolio data below and generate a structured division status report for the IME Division Leadership.</t>
  </si>
  <si>
    <t xml:space="preserve">REPORT STRUCTURE:</t>
  </si>
  <si>
    <t xml:space="preserve">1. Executive Summary</t>
  </si>
  <si>
    <t xml:space="preserve">3–5 sentences. Overall portfolio health, total budget consumed, number of red/amber/green projects, key message for leadership.</t>
  </si>
  <si>
    <t xml:space="preserve">2. Immediate Actions Required</t>
  </si>
  <si>
    <t xml:space="preserve">List ONLY escalation-flagged projects. For each: project name, issue in 1 sentence, recommended action with owner and deadline.</t>
  </si>
  <si>
    <t xml:space="preserve">3. Projects at Risk (Amber)</t>
  </si>
  <si>
    <t xml:space="preserve">Brief note per project. What is the risk, what needs monitoring, any upcoming decision points.</t>
  </si>
  <si>
    <t xml:space="preserve">4. On-Track Projects (Green)</t>
  </si>
  <si>
    <t xml:space="preserve">Confirm status. Flag any milestones due in next 30 days.</t>
  </si>
  <si>
    <t xml:space="preserve">5. Budget Overview</t>
  </si>
  <si>
    <t xml:space="preserve">Total portfolio spend vs. budget. Any projects &gt;90% consumed with significant time remaining. Any forecast overruns.</t>
  </si>
  <si>
    <t xml:space="preserve">6. HR &amp; Capacity</t>
  </si>
  <si>
    <t xml:space="preserve">Any projects where person-day utilisation is misaligned with project stage (high utilisation + early stage, or low utilisation + late stage).</t>
  </si>
  <si>
    <t xml:space="preserve">7. Recommended Leadership Actions</t>
  </si>
  <si>
    <t xml:space="preserve">Max 3 bullet points. Concrete, actionable, with suggested owner.</t>
  </si>
  <si>
    <t xml:space="preserve">TONE:</t>
  </si>
  <si>
    <t xml:space="preserve">Professional, concise, decision-oriented. Written for a non-technical division head. No jargon.</t>
  </si>
  <si>
    <t xml:space="preserve">LENGTH:</t>
  </si>
  <si>
    <t xml:space="preserve">Max 700 words. Use clear section headers. Plain text only — no markdown, no bullet symbols beyond dashes.</t>
  </si>
  <si>
    <t xml:space="preserve">LANGUAGE:</t>
  </si>
  <si>
    <t xml:space="preserve">English.</t>
  </si>
  <si>
    <t xml:space="preserve">DATA INPUT:</t>
  </si>
  <si>
    <t xml:space="preserve">&lt;&lt;PASTE CONSOLIDATED DASHBOARD DATA HERE — copy visible cells from CONSOLIDATED DASHBOARD sheet&gt;&gt;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</si>
</sst>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C6591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4E7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FFE0E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5B6"/>
        <bgColor rgb="FF0066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E0E0"/>
      <rgbColor rgb="FF2E75B6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5" min="4" style="0" width="14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4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9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24" hidden="false" customHeight="true" outlineLevel="0" collapsed="false">
      <c r="A4" s="4" t="s">
        <v>14</v>
      </c>
      <c r="B4" s="5" t="s">
        <v>15</v>
      </c>
      <c r="C4" s="4" t="s">
        <v>16</v>
      </c>
      <c r="D4" s="6" t="n">
        <v>320000</v>
      </c>
      <c r="E4" s="6" t="n">
        <f aca="false">'SOURCE 1 — SAP Finance'!G4</f>
        <v>285000</v>
      </c>
      <c r="F4" s="7" t="n">
        <f aca="false">E4/D4</f>
        <v>0.890625</v>
      </c>
      <c r="G4" s="7" t="n">
        <f aca="false">'SOURCE 3 — HR Timesheet'!E4/'SOURCE 3 — HR Timesheet'!D4</f>
        <v>0.955555555555556</v>
      </c>
      <c r="H4" s="4" t="s">
        <v>17</v>
      </c>
      <c r="I4" s="8" t="s">
        <v>18</v>
      </c>
      <c r="J4" s="9" t="s">
        <v>19</v>
      </c>
      <c r="K4" s="5" t="s">
        <v>20</v>
      </c>
      <c r="L4" s="5" t="s">
        <v>21</v>
      </c>
    </row>
    <row r="5" customFormat="false" ht="24" hidden="false" customHeight="true" outlineLevel="0" collapsed="false">
      <c r="A5" s="10" t="s">
        <v>22</v>
      </c>
      <c r="B5" s="11" t="s">
        <v>23</v>
      </c>
      <c r="C5" s="10" t="s">
        <v>24</v>
      </c>
      <c r="D5" s="12" t="n">
        <v>540000</v>
      </c>
      <c r="E5" s="12" t="n">
        <f aca="false">'SOURCE 1 — SAP Finance'!G5</f>
        <v>198000</v>
      </c>
      <c r="F5" s="13" t="n">
        <f aca="false">E5/D5</f>
        <v>0.366666666666667</v>
      </c>
      <c r="G5" s="13" t="n">
        <f aca="false">'SOURCE 3 — HR Timesheet'!E5/'SOURCE 3 — HR Timesheet'!D5</f>
        <v>0.36875</v>
      </c>
      <c r="H5" s="10" t="s">
        <v>25</v>
      </c>
      <c r="I5" s="14" t="s">
        <v>26</v>
      </c>
      <c r="J5" s="10" t="s">
        <v>27</v>
      </c>
      <c r="K5" s="11" t="s">
        <v>28</v>
      </c>
      <c r="L5" s="11" t="s">
        <v>29</v>
      </c>
    </row>
    <row r="6" customFormat="false" ht="24" hidden="false" customHeight="true" outlineLevel="0" collapsed="false">
      <c r="A6" s="4" t="s">
        <v>30</v>
      </c>
      <c r="B6" s="5" t="s">
        <v>31</v>
      </c>
      <c r="C6" s="4" t="s">
        <v>16</v>
      </c>
      <c r="D6" s="6" t="n">
        <v>210000</v>
      </c>
      <c r="E6" s="6" t="n">
        <f aca="false">'SOURCE 1 — SAP Finance'!G6</f>
        <v>204000</v>
      </c>
      <c r="F6" s="7" t="n">
        <f aca="false">E6/D6</f>
        <v>0.971428571428571</v>
      </c>
      <c r="G6" s="7" t="n">
        <f aca="false">'SOURCE 3 — HR Timesheet'!E6/'SOURCE 3 — HR Timesheet'!D6</f>
        <v>0.971428571428571</v>
      </c>
      <c r="H6" s="4" t="s">
        <v>17</v>
      </c>
      <c r="I6" s="15" t="s">
        <v>32</v>
      </c>
      <c r="J6" s="4" t="s">
        <v>27</v>
      </c>
      <c r="K6" s="5" t="s">
        <v>33</v>
      </c>
      <c r="L6" s="5" t="s">
        <v>34</v>
      </c>
    </row>
    <row r="7" customFormat="false" ht="24" hidden="false" customHeight="true" outlineLevel="0" collapsed="false">
      <c r="A7" s="10" t="s">
        <v>35</v>
      </c>
      <c r="B7" s="11" t="s">
        <v>36</v>
      </c>
      <c r="C7" s="10" t="s">
        <v>37</v>
      </c>
      <c r="D7" s="12" t="n">
        <v>480000</v>
      </c>
      <c r="E7" s="12" t="n">
        <f aca="false">'SOURCE 1 — SAP Finance'!G7</f>
        <v>89000</v>
      </c>
      <c r="F7" s="13" t="n">
        <f aca="false">E7/D7</f>
        <v>0.185416666666667</v>
      </c>
      <c r="G7" s="13" t="n">
        <f aca="false">'SOURCE 3 — HR Timesheet'!E7/'SOURCE 3 — HR Timesheet'!D7</f>
        <v>0.185714285714286</v>
      </c>
      <c r="H7" s="10" t="s">
        <v>25</v>
      </c>
      <c r="I7" s="14" t="s">
        <v>26</v>
      </c>
      <c r="J7" s="10" t="s">
        <v>27</v>
      </c>
      <c r="K7" s="11" t="s">
        <v>38</v>
      </c>
      <c r="L7" s="11" t="s">
        <v>39</v>
      </c>
    </row>
    <row r="8" customFormat="false" ht="24" hidden="false" customHeight="true" outlineLevel="0" collapsed="false">
      <c r="A8" s="4" t="s">
        <v>40</v>
      </c>
      <c r="B8" s="5" t="s">
        <v>41</v>
      </c>
      <c r="C8" s="4" t="s">
        <v>16</v>
      </c>
      <c r="D8" s="6" t="n">
        <v>95000</v>
      </c>
      <c r="E8" s="6" t="n">
        <f aca="false">'SOURCE 1 — SAP Finance'!G8</f>
        <v>91000</v>
      </c>
      <c r="F8" s="7" t="n">
        <f aca="false">E8/D8</f>
        <v>0.957894736842105</v>
      </c>
      <c r="G8" s="7" t="n">
        <f aca="false">'SOURCE 3 — HR Timesheet'!E8/'SOURCE 3 — HR Timesheet'!D8</f>
        <v>0.95</v>
      </c>
      <c r="H8" s="4" t="s">
        <v>42</v>
      </c>
      <c r="I8" s="15" t="s">
        <v>32</v>
      </c>
      <c r="J8" s="4" t="s">
        <v>27</v>
      </c>
      <c r="K8" s="5" t="s">
        <v>43</v>
      </c>
      <c r="L8" s="5" t="s">
        <v>44</v>
      </c>
    </row>
    <row r="9" customFormat="false" ht="24" hidden="false" customHeight="true" outlineLevel="0" collapsed="false">
      <c r="A9" s="10" t="s">
        <v>45</v>
      </c>
      <c r="B9" s="11" t="s">
        <v>46</v>
      </c>
      <c r="C9" s="10" t="s">
        <v>47</v>
      </c>
      <c r="D9" s="12" t="n">
        <v>275000</v>
      </c>
      <c r="E9" s="12" t="n">
        <f aca="false">'SOURCE 1 — SAP Finance'!G9</f>
        <v>132000</v>
      </c>
      <c r="F9" s="13" t="n">
        <f aca="false">E9/D9</f>
        <v>0.48</v>
      </c>
      <c r="G9" s="13" t="n">
        <f aca="false">'SOURCE 3 — HR Timesheet'!E9/'SOURCE 3 — HR Timesheet'!D9</f>
        <v>0.4875</v>
      </c>
      <c r="H9" s="10" t="s">
        <v>25</v>
      </c>
      <c r="I9" s="14" t="s">
        <v>26</v>
      </c>
      <c r="J9" s="10" t="s">
        <v>27</v>
      </c>
      <c r="K9" s="11" t="s">
        <v>48</v>
      </c>
      <c r="L9" s="11" t="s">
        <v>49</v>
      </c>
    </row>
    <row r="10" customFormat="false" ht="24" hidden="false" customHeight="true" outlineLevel="0" collapsed="false">
      <c r="A10" s="4" t="s">
        <v>50</v>
      </c>
      <c r="B10" s="5" t="s">
        <v>51</v>
      </c>
      <c r="C10" s="4" t="s">
        <v>52</v>
      </c>
      <c r="D10" s="6" t="n">
        <v>185000</v>
      </c>
      <c r="E10" s="6" t="n">
        <f aca="false">'SOURCE 1 — SAP Finance'!G10</f>
        <v>192000</v>
      </c>
      <c r="F10" s="7" t="n">
        <f aca="false">E10/D10</f>
        <v>1.03783783783784</v>
      </c>
      <c r="G10" s="7" t="n">
        <f aca="false">'SOURCE 3 — HR Timesheet'!E10/'SOURCE 3 — HR Timesheet'!D10</f>
        <v>0.981818181818182</v>
      </c>
      <c r="H10" s="4" t="s">
        <v>53</v>
      </c>
      <c r="I10" s="8" t="s">
        <v>18</v>
      </c>
      <c r="J10" s="9" t="s">
        <v>19</v>
      </c>
      <c r="K10" s="5" t="s">
        <v>54</v>
      </c>
      <c r="L10" s="5" t="s">
        <v>55</v>
      </c>
    </row>
    <row r="11" customFormat="false" ht="24" hidden="false" customHeight="true" outlineLevel="0" collapsed="false">
      <c r="A11" s="10" t="s">
        <v>56</v>
      </c>
      <c r="B11" s="11" t="s">
        <v>57</v>
      </c>
      <c r="C11" s="10" t="s">
        <v>16</v>
      </c>
      <c r="D11" s="12" t="n">
        <v>390000</v>
      </c>
      <c r="E11" s="12" t="n">
        <f aca="false">'SOURCE 1 — SAP Finance'!G11</f>
        <v>54000</v>
      </c>
      <c r="F11" s="13" t="n">
        <f aca="false">E11/D11</f>
        <v>0.138461538461538</v>
      </c>
      <c r="G11" s="13" t="n">
        <f aca="false">'SOURCE 3 — HR Timesheet'!E11/'SOURCE 3 — HR Timesheet'!D11</f>
        <v>0.139130434782609</v>
      </c>
      <c r="H11" s="10" t="s">
        <v>25</v>
      </c>
      <c r="I11" s="14" t="s">
        <v>26</v>
      </c>
      <c r="J11" s="10" t="s">
        <v>27</v>
      </c>
      <c r="K11" s="11" t="s">
        <v>58</v>
      </c>
      <c r="L11" s="11" t="s">
        <v>59</v>
      </c>
    </row>
    <row r="12" customFormat="false" ht="24" hidden="false" customHeight="true" outlineLevel="0" collapsed="false">
      <c r="A12" s="4" t="s">
        <v>60</v>
      </c>
      <c r="B12" s="5" t="s">
        <v>61</v>
      </c>
      <c r="C12" s="4" t="s">
        <v>62</v>
      </c>
      <c r="D12" s="6" t="n">
        <v>620000</v>
      </c>
      <c r="E12" s="6" t="n">
        <f aca="false">'SOURCE 1 — SAP Finance'!G12</f>
        <v>178000</v>
      </c>
      <c r="F12" s="7" t="n">
        <f aca="false">E12/D12</f>
        <v>0.287096774193548</v>
      </c>
      <c r="G12" s="7" t="n">
        <f aca="false">'SOURCE 3 — HR Timesheet'!E12/'SOURCE 3 — HR Timesheet'!D12</f>
        <v>0.288888888888889</v>
      </c>
      <c r="H12" s="4" t="s">
        <v>25</v>
      </c>
      <c r="I12" s="14" t="s">
        <v>26</v>
      </c>
      <c r="J12" s="4" t="s">
        <v>27</v>
      </c>
      <c r="K12" s="5" t="s">
        <v>63</v>
      </c>
      <c r="L12" s="5" t="s">
        <v>64</v>
      </c>
    </row>
    <row r="13" customFormat="false" ht="24" hidden="false" customHeight="true" outlineLevel="0" collapsed="false">
      <c r="A13" s="10" t="s">
        <v>65</v>
      </c>
      <c r="B13" s="11" t="s">
        <v>66</v>
      </c>
      <c r="C13" s="10" t="s">
        <v>67</v>
      </c>
      <c r="D13" s="12" t="n">
        <v>310000</v>
      </c>
      <c r="E13" s="12" t="n">
        <f aca="false">'SOURCE 1 — SAP Finance'!G13</f>
        <v>98000</v>
      </c>
      <c r="F13" s="13" t="n">
        <f aca="false">E13/D13</f>
        <v>0.316129032258065</v>
      </c>
      <c r="G13" s="13" t="n">
        <f aca="false">'SOURCE 3 — HR Timesheet'!E13/'SOURCE 3 — HR Timesheet'!D13</f>
        <v>0.313513513513514</v>
      </c>
      <c r="H13" s="10" t="s">
        <v>68</v>
      </c>
      <c r="I13" s="15" t="s">
        <v>32</v>
      </c>
      <c r="J13" s="10" t="s">
        <v>27</v>
      </c>
      <c r="K13" s="11" t="s">
        <v>69</v>
      </c>
      <c r="L13" s="11" t="s">
        <v>70</v>
      </c>
    </row>
    <row r="14" customFormat="false" ht="24" hidden="false" customHeight="true" outlineLevel="0" collapsed="false">
      <c r="A14" s="4" t="s">
        <v>71</v>
      </c>
      <c r="B14" s="5" t="s">
        <v>72</v>
      </c>
      <c r="C14" s="4" t="s">
        <v>16</v>
      </c>
      <c r="D14" s="6" t="n">
        <v>145000</v>
      </c>
      <c r="E14" s="6" t="n">
        <f aca="false">'SOURCE 1 — SAP Finance'!G14</f>
        <v>138000</v>
      </c>
      <c r="F14" s="7" t="n">
        <f aca="false">E14/D14</f>
        <v>0.951724137931035</v>
      </c>
      <c r="G14" s="7" t="n">
        <f aca="false">'SOURCE 3 — HR Timesheet'!E14/'SOURCE 3 — HR Timesheet'!D14</f>
        <v>0.964705882352941</v>
      </c>
      <c r="H14" s="4" t="s">
        <v>25</v>
      </c>
      <c r="I14" s="8" t="s">
        <v>18</v>
      </c>
      <c r="J14" s="9" t="s">
        <v>19</v>
      </c>
      <c r="K14" s="5" t="s">
        <v>73</v>
      </c>
      <c r="L14" s="5" t="s">
        <v>74</v>
      </c>
    </row>
    <row r="15" customFormat="false" ht="24" hidden="false" customHeight="true" outlineLevel="0" collapsed="false">
      <c r="A15" s="10" t="s">
        <v>75</v>
      </c>
      <c r="B15" s="11" t="s">
        <v>76</v>
      </c>
      <c r="C15" s="10" t="s">
        <v>62</v>
      </c>
      <c r="D15" s="12" t="n">
        <v>260000</v>
      </c>
      <c r="E15" s="12" t="n">
        <f aca="false">'SOURCE 1 — SAP Finance'!G15</f>
        <v>72000</v>
      </c>
      <c r="F15" s="13" t="n">
        <f aca="false">E15/D15</f>
        <v>0.276923076923077</v>
      </c>
      <c r="G15" s="13" t="n">
        <f aca="false">'SOURCE 3 — HR Timesheet'!E15/'SOURCE 3 — HR Timesheet'!D15</f>
        <v>0.28</v>
      </c>
      <c r="H15" s="10" t="s">
        <v>25</v>
      </c>
      <c r="I15" s="14" t="s">
        <v>26</v>
      </c>
      <c r="J15" s="10" t="s">
        <v>27</v>
      </c>
      <c r="K15" s="11" t="s">
        <v>77</v>
      </c>
      <c r="L15" s="11" t="s">
        <v>78</v>
      </c>
    </row>
    <row r="16" customFormat="false" ht="24" hidden="false" customHeight="true" outlineLevel="0" collapsed="false">
      <c r="A16" s="4" t="s">
        <v>79</v>
      </c>
      <c r="B16" s="5" t="s">
        <v>80</v>
      </c>
      <c r="C16" s="4" t="s">
        <v>24</v>
      </c>
      <c r="D16" s="6" t="n">
        <v>410000</v>
      </c>
      <c r="E16" s="6" t="n">
        <f aca="false">'SOURCE 1 — SAP Finance'!G16</f>
        <v>155000</v>
      </c>
      <c r="F16" s="7" t="n">
        <f aca="false">E16/D16</f>
        <v>0.378048780487805</v>
      </c>
      <c r="G16" s="7" t="n">
        <f aca="false">'SOURCE 3 — HR Timesheet'!E16/'SOURCE 3 — HR Timesheet'!D16</f>
        <v>0.379166666666667</v>
      </c>
      <c r="H16" s="4" t="s">
        <v>25</v>
      </c>
      <c r="I16" s="14" t="s">
        <v>26</v>
      </c>
      <c r="J16" s="4" t="s">
        <v>27</v>
      </c>
      <c r="K16" s="5" t="s">
        <v>81</v>
      </c>
      <c r="L16" s="5" t="s">
        <v>82</v>
      </c>
    </row>
    <row r="17" customFormat="false" ht="24" hidden="false" customHeight="true" outlineLevel="0" collapsed="false">
      <c r="A17" s="10" t="s">
        <v>83</v>
      </c>
      <c r="B17" s="11" t="s">
        <v>84</v>
      </c>
      <c r="C17" s="10" t="s">
        <v>16</v>
      </c>
      <c r="D17" s="12" t="n">
        <v>78000</v>
      </c>
      <c r="E17" s="12" t="n">
        <f aca="false">'SOURCE 1 — SAP Finance'!G17</f>
        <v>77000</v>
      </c>
      <c r="F17" s="13" t="n">
        <f aca="false">E17/D17</f>
        <v>0.987179487179487</v>
      </c>
      <c r="G17" s="13" t="n">
        <f aca="false">'SOURCE 3 — HR Timesheet'!E17/'SOURCE 3 — HR Timesheet'!D17</f>
        <v>0.958333333333333</v>
      </c>
      <c r="H17" s="10" t="s">
        <v>25</v>
      </c>
      <c r="I17" s="15" t="s">
        <v>32</v>
      </c>
      <c r="J17" s="10" t="s">
        <v>27</v>
      </c>
      <c r="K17" s="11" t="s">
        <v>85</v>
      </c>
      <c r="L17" s="11" t="s">
        <v>86</v>
      </c>
    </row>
    <row r="18" customFormat="false" ht="24" hidden="false" customHeight="true" outlineLevel="0" collapsed="false">
      <c r="A18" s="4" t="s">
        <v>87</v>
      </c>
      <c r="B18" s="5" t="s">
        <v>88</v>
      </c>
      <c r="C18" s="4" t="s">
        <v>37</v>
      </c>
      <c r="D18" s="6" t="n">
        <v>330000</v>
      </c>
      <c r="E18" s="6" t="n">
        <f aca="false">'SOURCE 1 — SAP Finance'!G18</f>
        <v>118000</v>
      </c>
      <c r="F18" s="7" t="n">
        <f aca="false">E18/D18</f>
        <v>0.357575757575758</v>
      </c>
      <c r="G18" s="7" t="n">
        <f aca="false">'SOURCE 3 — HR Timesheet'!E18/'SOURCE 3 — HR Timesheet'!D18</f>
        <v>0.358974358974359</v>
      </c>
      <c r="H18" s="4" t="s">
        <v>89</v>
      </c>
      <c r="I18" s="14" t="s">
        <v>26</v>
      </c>
      <c r="J18" s="4" t="s">
        <v>27</v>
      </c>
      <c r="K18" s="5" t="s">
        <v>90</v>
      </c>
      <c r="L18" s="5" t="s">
        <v>91</v>
      </c>
    </row>
    <row r="19" customFormat="false" ht="24" hidden="false" customHeight="true" outlineLevel="0" collapsed="false">
      <c r="A19" s="10" t="s">
        <v>92</v>
      </c>
      <c r="B19" s="11" t="s">
        <v>93</v>
      </c>
      <c r="C19" s="10" t="s">
        <v>47</v>
      </c>
      <c r="D19" s="12" t="n">
        <v>195000</v>
      </c>
      <c r="E19" s="12" t="n">
        <f aca="false">'SOURCE 1 — SAP Finance'!G19</f>
        <v>44000</v>
      </c>
      <c r="F19" s="13" t="n">
        <f aca="false">E19/D19</f>
        <v>0.225641025641026</v>
      </c>
      <c r="G19" s="13" t="n">
        <f aca="false">'SOURCE 3 — HR Timesheet'!E19/'SOURCE 3 — HR Timesheet'!D19</f>
        <v>0.08125</v>
      </c>
      <c r="H19" s="10" t="s">
        <v>89</v>
      </c>
      <c r="I19" s="14" t="s">
        <v>26</v>
      </c>
      <c r="J19" s="10" t="s">
        <v>27</v>
      </c>
      <c r="K19" s="11" t="s">
        <v>94</v>
      </c>
      <c r="L19" s="11" t="s">
        <v>95</v>
      </c>
    </row>
    <row r="20" customFormat="false" ht="24" hidden="false" customHeight="true" outlineLevel="0" collapsed="false">
      <c r="A20" s="4" t="s">
        <v>96</v>
      </c>
      <c r="B20" s="5" t="s">
        <v>97</v>
      </c>
      <c r="C20" s="4" t="s">
        <v>16</v>
      </c>
      <c r="D20" s="6" t="n">
        <v>550000</v>
      </c>
      <c r="E20" s="6" t="n">
        <f aca="false">'SOURCE 1 — SAP Finance'!G20</f>
        <v>223000</v>
      </c>
      <c r="F20" s="7" t="n">
        <f aca="false">E20/D20</f>
        <v>0.405454545454545</v>
      </c>
      <c r="G20" s="7" t="n">
        <f aca="false">'SOURCE 3 — HR Timesheet'!E20/'SOURCE 3 — HR Timesheet'!D20</f>
        <v>0.425806451612903</v>
      </c>
      <c r="H20" s="4" t="s">
        <v>25</v>
      </c>
      <c r="I20" s="15" t="s">
        <v>32</v>
      </c>
      <c r="J20" s="4" t="s">
        <v>27</v>
      </c>
      <c r="K20" s="5" t="s">
        <v>98</v>
      </c>
      <c r="L20" s="5" t="s">
        <v>99</v>
      </c>
    </row>
    <row r="21" customFormat="false" ht="24" hidden="false" customHeight="true" outlineLevel="0" collapsed="false">
      <c r="A21" s="10" t="s">
        <v>100</v>
      </c>
      <c r="B21" s="11" t="s">
        <v>101</v>
      </c>
      <c r="C21" s="10" t="s">
        <v>52</v>
      </c>
      <c r="D21" s="12" t="n">
        <v>125000</v>
      </c>
      <c r="E21" s="12" t="n">
        <f aca="false">'SOURCE 1 — SAP Finance'!G21</f>
        <v>121000</v>
      </c>
      <c r="F21" s="13" t="n">
        <f aca="false">E21/D21</f>
        <v>0.968</v>
      </c>
      <c r="G21" s="13" t="n">
        <f aca="false">'SOURCE 3 — HR Timesheet'!E21/'SOURCE 3 — HR Timesheet'!D21</f>
        <v>0.973333333333333</v>
      </c>
      <c r="H21" s="10" t="s">
        <v>25</v>
      </c>
      <c r="I21" s="8" t="s">
        <v>18</v>
      </c>
      <c r="J21" s="16" t="s">
        <v>19</v>
      </c>
      <c r="K21" s="11" t="s">
        <v>102</v>
      </c>
      <c r="L21" s="11" t="s">
        <v>103</v>
      </c>
    </row>
    <row r="22" customFormat="false" ht="24" hidden="false" customHeight="true" outlineLevel="0" collapsed="false">
      <c r="A22" s="4" t="s">
        <v>104</v>
      </c>
      <c r="B22" s="5" t="s">
        <v>105</v>
      </c>
      <c r="C22" s="4" t="s">
        <v>62</v>
      </c>
      <c r="D22" s="6" t="n">
        <v>440000</v>
      </c>
      <c r="E22" s="6" t="n">
        <f aca="false">'SOURCE 1 — SAP Finance'!G22</f>
        <v>189000</v>
      </c>
      <c r="F22" s="7" t="n">
        <f aca="false">E22/D22</f>
        <v>0.429545454545455</v>
      </c>
      <c r="G22" s="7" t="n">
        <f aca="false">'SOURCE 3 — HR Timesheet'!E22/'SOURCE 3 — HR Timesheet'!D22</f>
        <v>0.430769230769231</v>
      </c>
      <c r="H22" s="4" t="s">
        <v>25</v>
      </c>
      <c r="I22" s="14" t="s">
        <v>26</v>
      </c>
      <c r="J22" s="4" t="s">
        <v>27</v>
      </c>
      <c r="K22" s="5" t="s">
        <v>106</v>
      </c>
      <c r="L22" s="5" t="s">
        <v>107</v>
      </c>
    </row>
    <row r="23" customFormat="false" ht="24" hidden="false" customHeight="true" outlineLevel="0" collapsed="false">
      <c r="A23" s="10" t="s">
        <v>108</v>
      </c>
      <c r="B23" s="11" t="s">
        <v>109</v>
      </c>
      <c r="C23" s="10" t="s">
        <v>67</v>
      </c>
      <c r="D23" s="12" t="n">
        <v>285000</v>
      </c>
      <c r="E23" s="12" t="n">
        <f aca="false">'SOURCE 1 — SAP Finance'!G23</f>
        <v>68000</v>
      </c>
      <c r="F23" s="13" t="n">
        <f aca="false">E23/D23</f>
        <v>0.23859649122807</v>
      </c>
      <c r="G23" s="13" t="n">
        <f aca="false">'SOURCE 3 — HR Timesheet'!E23/'SOURCE 3 — HR Timesheet'!D23</f>
        <v>0.235294117647059</v>
      </c>
      <c r="H23" s="10" t="s">
        <v>89</v>
      </c>
      <c r="I23" s="14" t="s">
        <v>26</v>
      </c>
      <c r="J23" s="10" t="s">
        <v>27</v>
      </c>
      <c r="K23" s="11" t="s">
        <v>110</v>
      </c>
      <c r="L23" s="11" t="s">
        <v>111</v>
      </c>
    </row>
    <row r="24" customFormat="false" ht="24" hidden="false" customHeight="true" outlineLevel="0" collapsed="false">
      <c r="A24" s="4" t="s">
        <v>112</v>
      </c>
      <c r="B24" s="5" t="s">
        <v>113</v>
      </c>
      <c r="C24" s="4" t="s">
        <v>16</v>
      </c>
      <c r="D24" s="6" t="n">
        <v>175000</v>
      </c>
      <c r="E24" s="6" t="n">
        <f aca="false">'SOURCE 1 — SAP Finance'!G24</f>
        <v>168000</v>
      </c>
      <c r="F24" s="7" t="n">
        <f aca="false">E24/D24</f>
        <v>0.96</v>
      </c>
      <c r="G24" s="7" t="n">
        <f aca="false">'SOURCE 3 — HR Timesheet'!E24/'SOURCE 3 — HR Timesheet'!D24</f>
        <v>0.5</v>
      </c>
      <c r="H24" s="4" t="s">
        <v>114</v>
      </c>
      <c r="I24" s="8" t="s">
        <v>18</v>
      </c>
      <c r="J24" s="9" t="s">
        <v>19</v>
      </c>
      <c r="K24" s="5" t="s">
        <v>115</v>
      </c>
      <c r="L24" s="5" t="s">
        <v>116</v>
      </c>
    </row>
    <row r="25" customFormat="false" ht="24" hidden="false" customHeight="true" outlineLevel="0" collapsed="false">
      <c r="A25" s="10" t="s">
        <v>117</v>
      </c>
      <c r="B25" s="11" t="s">
        <v>118</v>
      </c>
      <c r="C25" s="10" t="s">
        <v>37</v>
      </c>
      <c r="D25" s="12" t="n">
        <v>490000</v>
      </c>
      <c r="E25" s="12" t="n">
        <f aca="false">'SOURCE 1 — SAP Finance'!G25</f>
        <v>201000</v>
      </c>
      <c r="F25" s="13" t="n">
        <f aca="false">E25/D25</f>
        <v>0.410204081632653</v>
      </c>
      <c r="G25" s="13" t="n">
        <f aca="false">'SOURCE 3 — HR Timesheet'!E25/'SOURCE 3 — HR Timesheet'!D25</f>
        <v>0.414035087719298</v>
      </c>
      <c r="H25" s="10" t="s">
        <v>25</v>
      </c>
      <c r="I25" s="14" t="s">
        <v>26</v>
      </c>
      <c r="J25" s="10" t="s">
        <v>27</v>
      </c>
      <c r="K25" s="11" t="s">
        <v>119</v>
      </c>
      <c r="L25" s="11" t="s">
        <v>120</v>
      </c>
    </row>
    <row r="26" customFormat="false" ht="24" hidden="false" customHeight="true" outlineLevel="0" collapsed="false">
      <c r="A26" s="4" t="s">
        <v>121</v>
      </c>
      <c r="B26" s="5" t="s">
        <v>122</v>
      </c>
      <c r="C26" s="4" t="s">
        <v>24</v>
      </c>
      <c r="D26" s="6" t="n">
        <v>360000</v>
      </c>
      <c r="E26" s="6" t="n">
        <f aca="false">'SOURCE 1 — SAP Finance'!G26</f>
        <v>92000</v>
      </c>
      <c r="F26" s="7" t="n">
        <f aca="false">E26/D26</f>
        <v>0.255555555555556</v>
      </c>
      <c r="G26" s="7" t="n">
        <f aca="false">'SOURCE 3 — HR Timesheet'!E26/'SOURCE 3 — HR Timesheet'!D26</f>
        <v>0.446511627906977</v>
      </c>
      <c r="H26" s="4" t="s">
        <v>25</v>
      </c>
      <c r="I26" s="14" t="s">
        <v>26</v>
      </c>
      <c r="J26" s="4" t="s">
        <v>27</v>
      </c>
      <c r="K26" s="5" t="s">
        <v>123</v>
      </c>
      <c r="L26" s="5" t="s">
        <v>124</v>
      </c>
    </row>
    <row r="27" customFormat="false" ht="24" hidden="false" customHeight="true" outlineLevel="0" collapsed="false">
      <c r="A27" s="10" t="s">
        <v>125</v>
      </c>
      <c r="B27" s="11" t="s">
        <v>126</v>
      </c>
      <c r="C27" s="10" t="s">
        <v>47</v>
      </c>
      <c r="D27" s="12" t="n">
        <v>215000</v>
      </c>
      <c r="E27" s="12" t="n">
        <f aca="false">'SOURCE 1 — SAP Finance'!G27</f>
        <v>209000</v>
      </c>
      <c r="F27" s="13" t="n">
        <f aca="false">E27/D27</f>
        <v>0.972093023255814</v>
      </c>
      <c r="G27" s="13" t="n">
        <f aca="false">'SOURCE 3 — HR Timesheet'!E27/'SOURCE 3 — HR Timesheet'!D27</f>
        <v>0.961538461538462</v>
      </c>
      <c r="H27" s="10" t="s">
        <v>25</v>
      </c>
      <c r="I27" s="15" t="s">
        <v>32</v>
      </c>
      <c r="J27" s="10" t="s">
        <v>27</v>
      </c>
      <c r="K27" s="11" t="s">
        <v>127</v>
      </c>
      <c r="L27" s="11" t="s">
        <v>128</v>
      </c>
    </row>
    <row r="28" customFormat="false" ht="24" hidden="false" customHeight="true" outlineLevel="0" collapsed="false">
      <c r="A28" s="4" t="s">
        <v>129</v>
      </c>
      <c r="B28" s="5" t="s">
        <v>130</v>
      </c>
      <c r="C28" s="4" t="s">
        <v>16</v>
      </c>
      <c r="D28" s="6" t="n">
        <v>520000</v>
      </c>
      <c r="E28" s="6" t="n">
        <f aca="false">'SOURCE 1 — SAP Finance'!G28</f>
        <v>145000</v>
      </c>
      <c r="F28" s="7" t="n">
        <f aca="false">E28/D28</f>
        <v>0.278846153846154</v>
      </c>
      <c r="G28" s="7" t="n">
        <f aca="false">'SOURCE 3 — HR Timesheet'!E28/'SOURCE 3 — HR Timesheet'!D28</f>
        <v>0.366666666666667</v>
      </c>
      <c r="H28" s="4" t="s">
        <v>25</v>
      </c>
      <c r="I28" s="14" t="s">
        <v>26</v>
      </c>
      <c r="J28" s="4" t="s">
        <v>27</v>
      </c>
      <c r="K28" s="5" t="s">
        <v>131</v>
      </c>
      <c r="L28" s="5" t="s">
        <v>132</v>
      </c>
    </row>
    <row r="29" customFormat="false" ht="19.5" hidden="false" customHeight="true" outlineLevel="0" collapsed="false">
      <c r="A29" s="17" t="s">
        <v>133</v>
      </c>
      <c r="B29" s="17"/>
      <c r="C29" s="17"/>
      <c r="D29" s="18" t="n">
        <f aca="false">SUM(D4:D28)</f>
        <v>8003000</v>
      </c>
      <c r="E29" s="18" t="n">
        <f aca="false">SUM(E4:E28)</f>
        <v>3541000</v>
      </c>
      <c r="F29" s="19" t="n">
        <f aca="false">E29/D29</f>
        <v>0.442459077845808</v>
      </c>
      <c r="G29" s="20"/>
      <c r="H29" s="20"/>
      <c r="I29" s="20"/>
      <c r="J29" s="20"/>
      <c r="K29" s="20"/>
      <c r="L29" s="20"/>
    </row>
    <row r="31" customFormat="false" ht="15" hidden="false" customHeight="true" outlineLevel="0" collapsed="false">
      <c r="A31" s="17" t="s">
        <v>134</v>
      </c>
      <c r="B31" s="17"/>
      <c r="C31" s="17"/>
    </row>
    <row r="32" customFormat="false" ht="18" hidden="false" customHeight="true" outlineLevel="0" collapsed="false">
      <c r="A32" s="21" t="s">
        <v>135</v>
      </c>
      <c r="B32" s="21"/>
      <c r="C32" s="22" t="s">
        <v>136</v>
      </c>
    </row>
    <row r="33" customFormat="false" ht="18" hidden="false" customHeight="true" outlineLevel="0" collapsed="false">
      <c r="A33" s="21" t="s">
        <v>137</v>
      </c>
      <c r="B33" s="21"/>
      <c r="C33" s="22" t="n">
        <f aca="false">COUNTIF(I4:I28,"Green")</f>
        <v>14</v>
      </c>
    </row>
    <row r="34" customFormat="false" ht="18" hidden="false" customHeight="true" outlineLevel="0" collapsed="false">
      <c r="A34" s="21" t="s">
        <v>138</v>
      </c>
      <c r="B34" s="21"/>
      <c r="C34" s="22" t="n">
        <f aca="false">COUNTIF(I4:I28,"Amber")</f>
        <v>6</v>
      </c>
    </row>
    <row r="35" customFormat="false" ht="18" hidden="false" customHeight="true" outlineLevel="0" collapsed="false">
      <c r="A35" s="21" t="s">
        <v>139</v>
      </c>
      <c r="B35" s="21"/>
      <c r="C35" s="22" t="n">
        <f aca="false">COUNTIF(I4:I28,"Red")</f>
        <v>5</v>
      </c>
    </row>
    <row r="36" customFormat="false" ht="18" hidden="false" customHeight="true" outlineLevel="0" collapsed="false">
      <c r="A36" s="21" t="s">
        <v>140</v>
      </c>
      <c r="B36" s="21"/>
      <c r="C36" s="22" t="n">
        <f aca="false">COUNTIF(J4:J28,"Yes")</f>
        <v>5</v>
      </c>
    </row>
    <row r="37" customFormat="false" ht="18" hidden="false" customHeight="true" outlineLevel="0" collapsed="false">
      <c r="A37" s="21" t="s">
        <v>141</v>
      </c>
      <c r="B37" s="21"/>
      <c r="C37" s="22" t="s">
        <v>142</v>
      </c>
    </row>
  </sheetData>
  <mergeCells count="10">
    <mergeCell ref="A1:L1"/>
    <mergeCell ref="A2:L2"/>
    <mergeCell ref="A29:C29"/>
    <mergeCell ref="A31:C31"/>
    <mergeCell ref="A32:B32"/>
    <mergeCell ref="A33:B33"/>
    <mergeCell ref="A34:B34"/>
    <mergeCell ref="A35:B35"/>
    <mergeCell ref="A36:B36"/>
    <mergeCell ref="A37:B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8" min="7" style="0" width="18"/>
    <col collapsed="false" customWidth="true" hidden="false" outlineLevel="0" max="9" min="9" style="0" width="17"/>
    <col collapsed="false" customWidth="true" hidden="false" outlineLevel="0" max="10" min="10" style="0" width="10"/>
  </cols>
  <sheetData>
    <row r="1" customFormat="false" ht="27.75" hidden="false" customHeight="true" outlineLevel="0" collapsed="false">
      <c r="A1" s="1" t="s">
        <v>143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144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6" hidden="false" customHeight="true" outlineLevel="0" collapsed="false">
      <c r="A3" s="23" t="s">
        <v>2</v>
      </c>
      <c r="B3" s="23" t="s">
        <v>145</v>
      </c>
      <c r="C3" s="23" t="s">
        <v>4</v>
      </c>
      <c r="D3" s="23" t="s">
        <v>146</v>
      </c>
      <c r="E3" s="23" t="s">
        <v>147</v>
      </c>
      <c r="F3" s="23" t="s">
        <v>148</v>
      </c>
      <c r="G3" s="23" t="s">
        <v>149</v>
      </c>
      <c r="H3" s="23" t="s">
        <v>150</v>
      </c>
      <c r="I3" s="23" t="s">
        <v>151</v>
      </c>
      <c r="J3" s="23" t="s">
        <v>152</v>
      </c>
    </row>
    <row r="4" customFormat="false" ht="18" hidden="false" customHeight="true" outlineLevel="0" collapsed="false">
      <c r="A4" s="4" t="s">
        <v>14</v>
      </c>
      <c r="B4" s="4" t="s">
        <v>153</v>
      </c>
      <c r="C4" s="5" t="s">
        <v>16</v>
      </c>
      <c r="D4" s="6" t="n">
        <v>320000</v>
      </c>
      <c r="E4" s="6" t="n">
        <v>320000</v>
      </c>
      <c r="F4" s="6" t="n">
        <v>12000</v>
      </c>
      <c r="G4" s="6" t="n">
        <v>285000</v>
      </c>
      <c r="H4" s="6" t="n">
        <v>318000</v>
      </c>
      <c r="I4" s="6" t="n">
        <v>35000</v>
      </c>
      <c r="J4" s="4" t="n">
        <v>2026</v>
      </c>
    </row>
    <row r="5" customFormat="false" ht="18" hidden="false" customHeight="true" outlineLevel="0" collapsed="false">
      <c r="A5" s="10" t="s">
        <v>22</v>
      </c>
      <c r="B5" s="10" t="s">
        <v>154</v>
      </c>
      <c r="C5" s="11" t="s">
        <v>24</v>
      </c>
      <c r="D5" s="12" t="n">
        <v>540000</v>
      </c>
      <c r="E5" s="12" t="n">
        <v>540000</v>
      </c>
      <c r="F5" s="12" t="n">
        <v>45000</v>
      </c>
      <c r="G5" s="12" t="n">
        <v>198000</v>
      </c>
      <c r="H5" s="12" t="n">
        <v>410000</v>
      </c>
      <c r="I5" s="12" t="n">
        <v>342000</v>
      </c>
      <c r="J5" s="10" t="n">
        <v>2026</v>
      </c>
    </row>
    <row r="6" customFormat="false" ht="18" hidden="false" customHeight="true" outlineLevel="0" collapsed="false">
      <c r="A6" s="4" t="s">
        <v>30</v>
      </c>
      <c r="B6" s="4" t="s">
        <v>155</v>
      </c>
      <c r="C6" s="5" t="s">
        <v>16</v>
      </c>
      <c r="D6" s="6" t="n">
        <v>210000</v>
      </c>
      <c r="E6" s="6" t="n">
        <v>210000</v>
      </c>
      <c r="F6" s="6" t="n">
        <v>8000</v>
      </c>
      <c r="G6" s="6" t="n">
        <v>204000</v>
      </c>
      <c r="H6" s="6" t="n">
        <v>215000</v>
      </c>
      <c r="I6" s="6" t="n">
        <v>6000</v>
      </c>
      <c r="J6" s="4" t="n">
        <v>2026</v>
      </c>
    </row>
    <row r="7" customFormat="false" ht="18" hidden="false" customHeight="true" outlineLevel="0" collapsed="false">
      <c r="A7" s="10" t="s">
        <v>35</v>
      </c>
      <c r="B7" s="10" t="s">
        <v>156</v>
      </c>
      <c r="C7" s="11" t="s">
        <v>37</v>
      </c>
      <c r="D7" s="12" t="n">
        <v>480000</v>
      </c>
      <c r="E7" s="12" t="n">
        <v>480000</v>
      </c>
      <c r="F7" s="12" t="n">
        <v>32000</v>
      </c>
      <c r="G7" s="12" t="n">
        <v>89000</v>
      </c>
      <c r="H7" s="12" t="n">
        <v>220000</v>
      </c>
      <c r="I7" s="12" t="n">
        <v>391000</v>
      </c>
      <c r="J7" s="10" t="n">
        <v>2026</v>
      </c>
    </row>
    <row r="8" customFormat="false" ht="18" hidden="false" customHeight="true" outlineLevel="0" collapsed="false">
      <c r="A8" s="4" t="s">
        <v>40</v>
      </c>
      <c r="B8" s="4" t="s">
        <v>157</v>
      </c>
      <c r="C8" s="5" t="s">
        <v>16</v>
      </c>
      <c r="D8" s="6" t="n">
        <v>95000</v>
      </c>
      <c r="E8" s="6" t="n">
        <v>95000</v>
      </c>
      <c r="F8" s="6" t="n">
        <v>3000</v>
      </c>
      <c r="G8" s="6" t="n">
        <v>91000</v>
      </c>
      <c r="H8" s="6" t="n">
        <v>96000</v>
      </c>
      <c r="I8" s="6" t="n">
        <v>4000</v>
      </c>
      <c r="J8" s="4" t="n">
        <v>2026</v>
      </c>
    </row>
    <row r="9" customFormat="false" ht="18" hidden="false" customHeight="true" outlineLevel="0" collapsed="false">
      <c r="A9" s="10" t="s">
        <v>45</v>
      </c>
      <c r="B9" s="10" t="s">
        <v>158</v>
      </c>
      <c r="C9" s="11" t="s">
        <v>47</v>
      </c>
      <c r="D9" s="12" t="n">
        <v>275000</v>
      </c>
      <c r="E9" s="12" t="n">
        <v>275000</v>
      </c>
      <c r="F9" s="12" t="n">
        <v>18000</v>
      </c>
      <c r="G9" s="12" t="n">
        <v>132000</v>
      </c>
      <c r="H9" s="12" t="n">
        <v>260000</v>
      </c>
      <c r="I9" s="12" t="n">
        <v>143000</v>
      </c>
      <c r="J9" s="10" t="n">
        <v>2026</v>
      </c>
    </row>
    <row r="10" customFormat="false" ht="18" hidden="false" customHeight="true" outlineLevel="0" collapsed="false">
      <c r="A10" s="4" t="s">
        <v>50</v>
      </c>
      <c r="B10" s="4" t="s">
        <v>159</v>
      </c>
      <c r="C10" s="5" t="s">
        <v>52</v>
      </c>
      <c r="D10" s="6" t="n">
        <v>185000</v>
      </c>
      <c r="E10" s="6" t="n">
        <v>185000</v>
      </c>
      <c r="F10" s="6" t="n">
        <v>5000</v>
      </c>
      <c r="G10" s="6" t="n">
        <v>192000</v>
      </c>
      <c r="H10" s="6" t="n">
        <v>196000</v>
      </c>
      <c r="I10" s="6" t="n">
        <v>-7000</v>
      </c>
      <c r="J10" s="4" t="n">
        <v>2026</v>
      </c>
    </row>
    <row r="11" customFormat="false" ht="18" hidden="false" customHeight="true" outlineLevel="0" collapsed="false">
      <c r="A11" s="10" t="s">
        <v>56</v>
      </c>
      <c r="B11" s="10" t="s">
        <v>160</v>
      </c>
      <c r="C11" s="11" t="s">
        <v>16</v>
      </c>
      <c r="D11" s="12" t="n">
        <v>390000</v>
      </c>
      <c r="E11" s="12" t="n">
        <v>390000</v>
      </c>
      <c r="F11" s="12" t="n">
        <v>28000</v>
      </c>
      <c r="G11" s="12" t="n">
        <v>54000</v>
      </c>
      <c r="H11" s="12" t="n">
        <v>180000</v>
      </c>
      <c r="I11" s="12" t="n">
        <v>336000</v>
      </c>
      <c r="J11" s="10" t="n">
        <v>2026</v>
      </c>
    </row>
    <row r="12" customFormat="false" ht="18" hidden="false" customHeight="true" outlineLevel="0" collapsed="false">
      <c r="A12" s="4" t="s">
        <v>60</v>
      </c>
      <c r="B12" s="4" t="s">
        <v>161</v>
      </c>
      <c r="C12" s="5" t="s">
        <v>62</v>
      </c>
      <c r="D12" s="6" t="n">
        <v>620000</v>
      </c>
      <c r="E12" s="6" t="n">
        <v>620000</v>
      </c>
      <c r="F12" s="6" t="n">
        <v>55000</v>
      </c>
      <c r="G12" s="6" t="n">
        <v>178000</v>
      </c>
      <c r="H12" s="6" t="n">
        <v>390000</v>
      </c>
      <c r="I12" s="6" t="n">
        <v>442000</v>
      </c>
      <c r="J12" s="4" t="n">
        <v>2026</v>
      </c>
    </row>
    <row r="13" customFormat="false" ht="18" hidden="false" customHeight="true" outlineLevel="0" collapsed="false">
      <c r="A13" s="10" t="s">
        <v>65</v>
      </c>
      <c r="B13" s="10" t="s">
        <v>162</v>
      </c>
      <c r="C13" s="11" t="s">
        <v>67</v>
      </c>
      <c r="D13" s="12" t="n">
        <v>310000</v>
      </c>
      <c r="E13" s="12" t="n">
        <v>310000</v>
      </c>
      <c r="F13" s="12" t="n">
        <v>22000</v>
      </c>
      <c r="G13" s="12" t="n">
        <v>98000</v>
      </c>
      <c r="H13" s="12" t="n">
        <v>210000</v>
      </c>
      <c r="I13" s="12" t="n">
        <v>212000</v>
      </c>
      <c r="J13" s="10" t="n">
        <v>2026</v>
      </c>
    </row>
    <row r="14" customFormat="false" ht="18" hidden="false" customHeight="true" outlineLevel="0" collapsed="false">
      <c r="A14" s="4" t="s">
        <v>71</v>
      </c>
      <c r="B14" s="4" t="s">
        <v>163</v>
      </c>
      <c r="C14" s="5" t="s">
        <v>16</v>
      </c>
      <c r="D14" s="6" t="n">
        <v>145000</v>
      </c>
      <c r="E14" s="6" t="n">
        <v>145000</v>
      </c>
      <c r="F14" s="6" t="n">
        <v>6000</v>
      </c>
      <c r="G14" s="6" t="n">
        <v>138000</v>
      </c>
      <c r="H14" s="6" t="n">
        <v>147000</v>
      </c>
      <c r="I14" s="6" t="n">
        <v>7000</v>
      </c>
      <c r="J14" s="4" t="n">
        <v>2026</v>
      </c>
    </row>
    <row r="15" customFormat="false" ht="18" hidden="false" customHeight="true" outlineLevel="0" collapsed="false">
      <c r="A15" s="10" t="s">
        <v>75</v>
      </c>
      <c r="B15" s="10" t="s">
        <v>164</v>
      </c>
      <c r="C15" s="11" t="s">
        <v>62</v>
      </c>
      <c r="D15" s="12" t="n">
        <v>260000</v>
      </c>
      <c r="E15" s="12" t="n">
        <v>260000</v>
      </c>
      <c r="F15" s="12" t="n">
        <v>19000</v>
      </c>
      <c r="G15" s="12" t="n">
        <v>72000</v>
      </c>
      <c r="H15" s="12" t="n">
        <v>180000</v>
      </c>
      <c r="I15" s="12" t="n">
        <v>188000</v>
      </c>
      <c r="J15" s="10" t="n">
        <v>2026</v>
      </c>
    </row>
    <row r="16" customFormat="false" ht="18" hidden="false" customHeight="true" outlineLevel="0" collapsed="false">
      <c r="A16" s="4" t="s">
        <v>79</v>
      </c>
      <c r="B16" s="4" t="s">
        <v>165</v>
      </c>
      <c r="C16" s="5" t="s">
        <v>24</v>
      </c>
      <c r="D16" s="6" t="n">
        <v>410000</v>
      </c>
      <c r="E16" s="6" t="n">
        <v>410000</v>
      </c>
      <c r="F16" s="6" t="n">
        <v>31000</v>
      </c>
      <c r="G16" s="6" t="n">
        <v>155000</v>
      </c>
      <c r="H16" s="6" t="n">
        <v>310000</v>
      </c>
      <c r="I16" s="6" t="n">
        <v>255000</v>
      </c>
      <c r="J16" s="4" t="n">
        <v>2026</v>
      </c>
    </row>
    <row r="17" customFormat="false" ht="18" hidden="false" customHeight="true" outlineLevel="0" collapsed="false">
      <c r="A17" s="10" t="s">
        <v>83</v>
      </c>
      <c r="B17" s="10" t="s">
        <v>166</v>
      </c>
      <c r="C17" s="11" t="s">
        <v>16</v>
      </c>
      <c r="D17" s="12" t="n">
        <v>78000</v>
      </c>
      <c r="E17" s="12" t="n">
        <v>78000</v>
      </c>
      <c r="F17" s="12" t="n">
        <v>2000</v>
      </c>
      <c r="G17" s="12" t="n">
        <v>77000</v>
      </c>
      <c r="H17" s="12" t="n">
        <v>80000</v>
      </c>
      <c r="I17" s="12" t="n">
        <v>1000</v>
      </c>
      <c r="J17" s="10" t="n">
        <v>2026</v>
      </c>
    </row>
    <row r="18" customFormat="false" ht="18" hidden="false" customHeight="true" outlineLevel="0" collapsed="false">
      <c r="A18" s="4" t="s">
        <v>87</v>
      </c>
      <c r="B18" s="4" t="s">
        <v>167</v>
      </c>
      <c r="C18" s="5" t="s">
        <v>37</v>
      </c>
      <c r="D18" s="6" t="n">
        <v>330000</v>
      </c>
      <c r="E18" s="6" t="n">
        <v>330000</v>
      </c>
      <c r="F18" s="6" t="n">
        <v>24000</v>
      </c>
      <c r="G18" s="6" t="n">
        <v>118000</v>
      </c>
      <c r="H18" s="6" t="n">
        <v>270000</v>
      </c>
      <c r="I18" s="6" t="n">
        <v>212000</v>
      </c>
      <c r="J18" s="4" t="n">
        <v>2026</v>
      </c>
    </row>
    <row r="19" customFormat="false" ht="18" hidden="false" customHeight="true" outlineLevel="0" collapsed="false">
      <c r="A19" s="10" t="s">
        <v>92</v>
      </c>
      <c r="B19" s="10" t="s">
        <v>168</v>
      </c>
      <c r="C19" s="11" t="s">
        <v>47</v>
      </c>
      <c r="D19" s="12" t="n">
        <v>195000</v>
      </c>
      <c r="E19" s="12" t="n">
        <v>195000</v>
      </c>
      <c r="F19" s="12" t="n">
        <v>14000</v>
      </c>
      <c r="G19" s="12" t="n">
        <v>44000</v>
      </c>
      <c r="H19" s="12" t="n">
        <v>130000</v>
      </c>
      <c r="I19" s="12" t="n">
        <v>151000</v>
      </c>
      <c r="J19" s="10" t="n">
        <v>2026</v>
      </c>
    </row>
    <row r="20" customFormat="false" ht="18" hidden="false" customHeight="true" outlineLevel="0" collapsed="false">
      <c r="A20" s="4" t="s">
        <v>96</v>
      </c>
      <c r="B20" s="4" t="s">
        <v>169</v>
      </c>
      <c r="C20" s="5" t="s">
        <v>16</v>
      </c>
      <c r="D20" s="6" t="n">
        <v>550000</v>
      </c>
      <c r="E20" s="6" t="n">
        <v>550000</v>
      </c>
      <c r="F20" s="6" t="n">
        <v>41000</v>
      </c>
      <c r="G20" s="6" t="n">
        <v>223000</v>
      </c>
      <c r="H20" s="6" t="n">
        <v>480000</v>
      </c>
      <c r="I20" s="6" t="n">
        <v>327000</v>
      </c>
      <c r="J20" s="4" t="n">
        <v>2026</v>
      </c>
    </row>
    <row r="21" customFormat="false" ht="18" hidden="false" customHeight="true" outlineLevel="0" collapsed="false">
      <c r="A21" s="10" t="s">
        <v>100</v>
      </c>
      <c r="B21" s="10" t="s">
        <v>170</v>
      </c>
      <c r="C21" s="11" t="s">
        <v>52</v>
      </c>
      <c r="D21" s="12" t="n">
        <v>125000</v>
      </c>
      <c r="E21" s="12" t="n">
        <v>125000</v>
      </c>
      <c r="F21" s="12" t="n">
        <v>4000</v>
      </c>
      <c r="G21" s="12" t="n">
        <v>121000</v>
      </c>
      <c r="H21" s="12" t="n">
        <v>127000</v>
      </c>
      <c r="I21" s="12" t="n">
        <v>4000</v>
      </c>
      <c r="J21" s="10" t="n">
        <v>2026</v>
      </c>
    </row>
    <row r="22" customFormat="false" ht="18" hidden="false" customHeight="true" outlineLevel="0" collapsed="false">
      <c r="A22" s="4" t="s">
        <v>104</v>
      </c>
      <c r="B22" s="4" t="s">
        <v>171</v>
      </c>
      <c r="C22" s="5" t="s">
        <v>62</v>
      </c>
      <c r="D22" s="6" t="n">
        <v>440000</v>
      </c>
      <c r="E22" s="6" t="n">
        <v>440000</v>
      </c>
      <c r="F22" s="6" t="n">
        <v>33000</v>
      </c>
      <c r="G22" s="6" t="n">
        <v>189000</v>
      </c>
      <c r="H22" s="6" t="n">
        <v>360000</v>
      </c>
      <c r="I22" s="6" t="n">
        <v>251000</v>
      </c>
      <c r="J22" s="4" t="n">
        <v>2026</v>
      </c>
    </row>
    <row r="23" customFormat="false" ht="18" hidden="false" customHeight="true" outlineLevel="0" collapsed="false">
      <c r="A23" s="10" t="s">
        <v>108</v>
      </c>
      <c r="B23" s="10" t="s">
        <v>172</v>
      </c>
      <c r="C23" s="11" t="s">
        <v>67</v>
      </c>
      <c r="D23" s="12" t="n">
        <v>285000</v>
      </c>
      <c r="E23" s="12" t="n">
        <v>285000</v>
      </c>
      <c r="F23" s="12" t="n">
        <v>20000</v>
      </c>
      <c r="G23" s="12" t="n">
        <v>68000</v>
      </c>
      <c r="H23" s="12" t="n">
        <v>190000</v>
      </c>
      <c r="I23" s="12" t="n">
        <v>217000</v>
      </c>
      <c r="J23" s="10" t="n">
        <v>2026</v>
      </c>
    </row>
    <row r="24" customFormat="false" ht="18" hidden="false" customHeight="true" outlineLevel="0" collapsed="false">
      <c r="A24" s="4" t="s">
        <v>112</v>
      </c>
      <c r="B24" s="4" t="s">
        <v>173</v>
      </c>
      <c r="C24" s="5" t="s">
        <v>16</v>
      </c>
      <c r="D24" s="6" t="n">
        <v>175000</v>
      </c>
      <c r="E24" s="6" t="n">
        <v>175000</v>
      </c>
      <c r="F24" s="6" t="n">
        <v>9000</v>
      </c>
      <c r="G24" s="6" t="n">
        <v>168000</v>
      </c>
      <c r="H24" s="6" t="n">
        <v>178000</v>
      </c>
      <c r="I24" s="6" t="n">
        <v>7000</v>
      </c>
      <c r="J24" s="4" t="n">
        <v>2026</v>
      </c>
    </row>
    <row r="25" customFormat="false" ht="18" hidden="false" customHeight="true" outlineLevel="0" collapsed="false">
      <c r="A25" s="10" t="s">
        <v>117</v>
      </c>
      <c r="B25" s="10" t="s">
        <v>174</v>
      </c>
      <c r="C25" s="11" t="s">
        <v>37</v>
      </c>
      <c r="D25" s="12" t="n">
        <v>490000</v>
      </c>
      <c r="E25" s="12" t="n">
        <v>490000</v>
      </c>
      <c r="F25" s="12" t="n">
        <v>38000</v>
      </c>
      <c r="G25" s="12" t="n">
        <v>201000</v>
      </c>
      <c r="H25" s="12" t="n">
        <v>420000</v>
      </c>
      <c r="I25" s="12" t="n">
        <v>289000</v>
      </c>
      <c r="J25" s="10" t="n">
        <v>2026</v>
      </c>
    </row>
    <row r="26" customFormat="false" ht="18" hidden="false" customHeight="true" outlineLevel="0" collapsed="false">
      <c r="A26" s="4" t="s">
        <v>121</v>
      </c>
      <c r="B26" s="4" t="s">
        <v>175</v>
      </c>
      <c r="C26" s="5" t="s">
        <v>24</v>
      </c>
      <c r="D26" s="6" t="n">
        <v>360000</v>
      </c>
      <c r="E26" s="6" t="n">
        <v>360000</v>
      </c>
      <c r="F26" s="6" t="n">
        <v>27000</v>
      </c>
      <c r="G26" s="6" t="n">
        <v>92000</v>
      </c>
      <c r="H26" s="6" t="n">
        <v>240000</v>
      </c>
      <c r="I26" s="6" t="n">
        <v>268000</v>
      </c>
      <c r="J26" s="4" t="n">
        <v>2026</v>
      </c>
    </row>
    <row r="27" customFormat="false" ht="18" hidden="false" customHeight="true" outlineLevel="0" collapsed="false">
      <c r="A27" s="10" t="s">
        <v>125</v>
      </c>
      <c r="B27" s="10" t="s">
        <v>176</v>
      </c>
      <c r="C27" s="11" t="s">
        <v>47</v>
      </c>
      <c r="D27" s="12" t="n">
        <v>215000</v>
      </c>
      <c r="E27" s="12" t="n">
        <v>215000</v>
      </c>
      <c r="F27" s="12" t="n">
        <v>15000</v>
      </c>
      <c r="G27" s="12" t="n">
        <v>209000</v>
      </c>
      <c r="H27" s="12" t="n">
        <v>218000</v>
      </c>
      <c r="I27" s="12" t="n">
        <v>6000</v>
      </c>
      <c r="J27" s="10" t="n">
        <v>2026</v>
      </c>
    </row>
    <row r="28" customFormat="false" ht="18" hidden="false" customHeight="true" outlineLevel="0" collapsed="false">
      <c r="A28" s="4" t="s">
        <v>129</v>
      </c>
      <c r="B28" s="4" t="s">
        <v>177</v>
      </c>
      <c r="C28" s="5" t="s">
        <v>16</v>
      </c>
      <c r="D28" s="6" t="n">
        <v>520000</v>
      </c>
      <c r="E28" s="6" t="n">
        <v>520000</v>
      </c>
      <c r="F28" s="6" t="n">
        <v>42000</v>
      </c>
      <c r="G28" s="6" t="n">
        <v>145000</v>
      </c>
      <c r="H28" s="6" t="n">
        <v>380000</v>
      </c>
      <c r="I28" s="6" t="n">
        <v>375000</v>
      </c>
      <c r="J28" s="4" t="n">
        <v>2026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6" min="5" style="0" width="36"/>
    <col collapsed="false" customWidth="true" hidden="false" outlineLevel="0" max="7" min="7" style="0" width="12"/>
    <col collapsed="false" customWidth="true" hidden="false" outlineLevel="0" max="8" min="8" style="0" width="50"/>
  </cols>
  <sheetData>
    <row r="1" customFormat="false" ht="27.75" hidden="false" customHeight="true" outlineLevel="0" collapsed="false">
      <c r="A1" s="1" t="s">
        <v>178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179</v>
      </c>
      <c r="B2" s="2"/>
      <c r="C2" s="2"/>
      <c r="D2" s="2"/>
      <c r="E2" s="2"/>
      <c r="F2" s="2"/>
      <c r="G2" s="2"/>
      <c r="H2" s="2"/>
    </row>
    <row r="3" customFormat="false" ht="39.75" hidden="false" customHeight="true" outlineLevel="0" collapsed="false">
      <c r="A3" s="23" t="s">
        <v>2</v>
      </c>
      <c r="B3" s="23" t="s">
        <v>3</v>
      </c>
      <c r="C3" s="23" t="s">
        <v>180</v>
      </c>
      <c r="D3" s="23" t="s">
        <v>181</v>
      </c>
      <c r="E3" s="23" t="s">
        <v>182</v>
      </c>
      <c r="F3" s="23" t="s">
        <v>183</v>
      </c>
      <c r="G3" s="23" t="s">
        <v>184</v>
      </c>
      <c r="H3" s="23" t="s">
        <v>185</v>
      </c>
    </row>
    <row r="4" customFormat="false" ht="30" hidden="false" customHeight="true" outlineLevel="0" collapsed="false">
      <c r="A4" s="5" t="s">
        <v>14</v>
      </c>
      <c r="B4" s="5" t="s">
        <v>15</v>
      </c>
      <c r="C4" s="5" t="s">
        <v>186</v>
      </c>
      <c r="D4" s="24" t="s">
        <v>18</v>
      </c>
      <c r="E4" s="25" t="s">
        <v>187</v>
      </c>
      <c r="F4" s="25" t="s">
        <v>188</v>
      </c>
      <c r="G4" s="25" t="s">
        <v>19</v>
      </c>
      <c r="H4" s="25" t="s">
        <v>189</v>
      </c>
    </row>
    <row r="5" customFormat="false" ht="30" hidden="false" customHeight="true" outlineLevel="0" collapsed="false">
      <c r="A5" s="11" t="s">
        <v>22</v>
      </c>
      <c r="B5" s="11" t="s">
        <v>23</v>
      </c>
      <c r="C5" s="11" t="s">
        <v>190</v>
      </c>
      <c r="D5" s="26" t="s">
        <v>26</v>
      </c>
      <c r="E5" s="25" t="s">
        <v>191</v>
      </c>
      <c r="F5" s="25" t="s">
        <v>192</v>
      </c>
      <c r="G5" s="25" t="s">
        <v>27</v>
      </c>
      <c r="H5" s="25" t="s">
        <v>193</v>
      </c>
    </row>
    <row r="6" customFormat="false" ht="30" hidden="false" customHeight="true" outlineLevel="0" collapsed="false">
      <c r="A6" s="5" t="s">
        <v>30</v>
      </c>
      <c r="B6" s="5" t="s">
        <v>31</v>
      </c>
      <c r="C6" s="5" t="s">
        <v>194</v>
      </c>
      <c r="D6" s="27" t="s">
        <v>32</v>
      </c>
      <c r="E6" s="25" t="s">
        <v>195</v>
      </c>
      <c r="F6" s="25" t="s">
        <v>196</v>
      </c>
      <c r="G6" s="25" t="s">
        <v>27</v>
      </c>
      <c r="H6" s="25" t="s">
        <v>197</v>
      </c>
    </row>
    <row r="7" customFormat="false" ht="30" hidden="false" customHeight="true" outlineLevel="0" collapsed="false">
      <c r="A7" s="11" t="s">
        <v>35</v>
      </c>
      <c r="B7" s="11" t="s">
        <v>36</v>
      </c>
      <c r="C7" s="11" t="s">
        <v>198</v>
      </c>
      <c r="D7" s="26" t="s">
        <v>26</v>
      </c>
      <c r="E7" s="25" t="s">
        <v>199</v>
      </c>
      <c r="F7" s="25" t="s">
        <v>200</v>
      </c>
      <c r="G7" s="25" t="s">
        <v>27</v>
      </c>
      <c r="H7" s="25" t="s">
        <v>201</v>
      </c>
    </row>
    <row r="8" customFormat="false" ht="30" hidden="false" customHeight="true" outlineLevel="0" collapsed="false">
      <c r="A8" s="5" t="s">
        <v>40</v>
      </c>
      <c r="B8" s="5" t="s">
        <v>41</v>
      </c>
      <c r="C8" s="5" t="s">
        <v>202</v>
      </c>
      <c r="D8" s="27" t="s">
        <v>32</v>
      </c>
      <c r="E8" s="25" t="s">
        <v>203</v>
      </c>
      <c r="F8" s="25" t="s">
        <v>204</v>
      </c>
      <c r="G8" s="25" t="s">
        <v>27</v>
      </c>
      <c r="H8" s="25" t="s">
        <v>205</v>
      </c>
    </row>
    <row r="9" customFormat="false" ht="30" hidden="false" customHeight="true" outlineLevel="0" collapsed="false">
      <c r="A9" s="11" t="s">
        <v>45</v>
      </c>
      <c r="B9" s="11" t="s">
        <v>46</v>
      </c>
      <c r="C9" s="11" t="s">
        <v>206</v>
      </c>
      <c r="D9" s="26" t="s">
        <v>26</v>
      </c>
      <c r="E9" s="25" t="s">
        <v>207</v>
      </c>
      <c r="F9" s="25" t="s">
        <v>208</v>
      </c>
      <c r="G9" s="25" t="s">
        <v>27</v>
      </c>
      <c r="H9" s="25" t="s">
        <v>209</v>
      </c>
    </row>
    <row r="10" customFormat="false" ht="30" hidden="false" customHeight="true" outlineLevel="0" collapsed="false">
      <c r="A10" s="5" t="s">
        <v>50</v>
      </c>
      <c r="B10" s="5" t="s">
        <v>51</v>
      </c>
      <c r="C10" s="5" t="s">
        <v>210</v>
      </c>
      <c r="D10" s="24" t="s">
        <v>18</v>
      </c>
      <c r="E10" s="25" t="s">
        <v>211</v>
      </c>
      <c r="F10" s="25" t="s">
        <v>212</v>
      </c>
      <c r="G10" s="25" t="s">
        <v>19</v>
      </c>
      <c r="H10" s="25" t="s">
        <v>213</v>
      </c>
    </row>
    <row r="11" customFormat="false" ht="30" hidden="false" customHeight="true" outlineLevel="0" collapsed="false">
      <c r="A11" s="11" t="s">
        <v>56</v>
      </c>
      <c r="B11" s="11" t="s">
        <v>214</v>
      </c>
      <c r="C11" s="11" t="s">
        <v>215</v>
      </c>
      <c r="D11" s="26" t="s">
        <v>26</v>
      </c>
      <c r="E11" s="25" t="s">
        <v>216</v>
      </c>
      <c r="F11" s="25" t="s">
        <v>208</v>
      </c>
      <c r="G11" s="25" t="s">
        <v>27</v>
      </c>
      <c r="H11" s="25" t="s">
        <v>217</v>
      </c>
    </row>
    <row r="12" customFormat="false" ht="30" hidden="false" customHeight="true" outlineLevel="0" collapsed="false">
      <c r="A12" s="5" t="s">
        <v>60</v>
      </c>
      <c r="B12" s="5" t="s">
        <v>218</v>
      </c>
      <c r="C12" s="5" t="s">
        <v>219</v>
      </c>
      <c r="D12" s="26" t="s">
        <v>26</v>
      </c>
      <c r="E12" s="25" t="s">
        <v>220</v>
      </c>
      <c r="F12" s="25" t="s">
        <v>221</v>
      </c>
      <c r="G12" s="25" t="s">
        <v>27</v>
      </c>
      <c r="H12" s="25" t="s">
        <v>222</v>
      </c>
    </row>
    <row r="13" customFormat="false" ht="30" hidden="false" customHeight="true" outlineLevel="0" collapsed="false">
      <c r="A13" s="11" t="s">
        <v>65</v>
      </c>
      <c r="B13" s="11" t="s">
        <v>223</v>
      </c>
      <c r="C13" s="11" t="s">
        <v>224</v>
      </c>
      <c r="D13" s="27" t="s">
        <v>32</v>
      </c>
      <c r="E13" s="25" t="s">
        <v>225</v>
      </c>
      <c r="F13" s="25" t="s">
        <v>226</v>
      </c>
      <c r="G13" s="25" t="s">
        <v>27</v>
      </c>
      <c r="H13" s="25" t="s">
        <v>227</v>
      </c>
    </row>
    <row r="14" customFormat="false" ht="30" hidden="false" customHeight="true" outlineLevel="0" collapsed="false">
      <c r="A14" s="5" t="s">
        <v>71</v>
      </c>
      <c r="B14" s="5" t="s">
        <v>228</v>
      </c>
      <c r="C14" s="5" t="s">
        <v>229</v>
      </c>
      <c r="D14" s="24" t="s">
        <v>18</v>
      </c>
      <c r="E14" s="25" t="s">
        <v>230</v>
      </c>
      <c r="F14" s="25" t="s">
        <v>231</v>
      </c>
      <c r="G14" s="25" t="s">
        <v>19</v>
      </c>
      <c r="H14" s="25" t="s">
        <v>232</v>
      </c>
    </row>
    <row r="15" customFormat="false" ht="30" hidden="false" customHeight="true" outlineLevel="0" collapsed="false">
      <c r="A15" s="11" t="s">
        <v>75</v>
      </c>
      <c r="B15" s="11" t="s">
        <v>76</v>
      </c>
      <c r="C15" s="11" t="s">
        <v>233</v>
      </c>
      <c r="D15" s="26" t="s">
        <v>26</v>
      </c>
      <c r="E15" s="25" t="s">
        <v>234</v>
      </c>
      <c r="F15" s="25" t="s">
        <v>208</v>
      </c>
      <c r="G15" s="25" t="s">
        <v>27</v>
      </c>
      <c r="H15" s="25" t="s">
        <v>235</v>
      </c>
    </row>
    <row r="16" customFormat="false" ht="30" hidden="false" customHeight="true" outlineLevel="0" collapsed="false">
      <c r="A16" s="5" t="s">
        <v>79</v>
      </c>
      <c r="B16" s="5" t="s">
        <v>80</v>
      </c>
      <c r="C16" s="5" t="s">
        <v>236</v>
      </c>
      <c r="D16" s="26" t="s">
        <v>26</v>
      </c>
      <c r="E16" s="25" t="s">
        <v>237</v>
      </c>
      <c r="F16" s="25" t="s">
        <v>238</v>
      </c>
      <c r="G16" s="25" t="s">
        <v>27</v>
      </c>
      <c r="H16" s="25" t="s">
        <v>239</v>
      </c>
    </row>
    <row r="17" customFormat="false" ht="30" hidden="false" customHeight="true" outlineLevel="0" collapsed="false">
      <c r="A17" s="11" t="s">
        <v>83</v>
      </c>
      <c r="B17" s="11" t="s">
        <v>84</v>
      </c>
      <c r="C17" s="11" t="s">
        <v>240</v>
      </c>
      <c r="D17" s="27" t="s">
        <v>32</v>
      </c>
      <c r="E17" s="25" t="s">
        <v>241</v>
      </c>
      <c r="F17" s="25" t="s">
        <v>242</v>
      </c>
      <c r="G17" s="25" t="s">
        <v>27</v>
      </c>
      <c r="H17" s="25" t="s">
        <v>243</v>
      </c>
    </row>
    <row r="18" customFormat="false" ht="30" hidden="false" customHeight="true" outlineLevel="0" collapsed="false">
      <c r="A18" s="5" t="s">
        <v>87</v>
      </c>
      <c r="B18" s="5" t="s">
        <v>88</v>
      </c>
      <c r="C18" s="5" t="s">
        <v>244</v>
      </c>
      <c r="D18" s="26" t="s">
        <v>26</v>
      </c>
      <c r="E18" s="25" t="s">
        <v>245</v>
      </c>
      <c r="F18" s="25" t="s">
        <v>208</v>
      </c>
      <c r="G18" s="25" t="s">
        <v>27</v>
      </c>
      <c r="H18" s="25" t="s">
        <v>246</v>
      </c>
    </row>
    <row r="19" customFormat="false" ht="30" hidden="false" customHeight="true" outlineLevel="0" collapsed="false">
      <c r="A19" s="11" t="s">
        <v>92</v>
      </c>
      <c r="B19" s="11" t="s">
        <v>93</v>
      </c>
      <c r="C19" s="11" t="s">
        <v>247</v>
      </c>
      <c r="D19" s="26" t="s">
        <v>26</v>
      </c>
      <c r="E19" s="25" t="s">
        <v>248</v>
      </c>
      <c r="F19" s="25" t="s">
        <v>208</v>
      </c>
      <c r="G19" s="25" t="s">
        <v>27</v>
      </c>
      <c r="H19" s="25" t="s">
        <v>249</v>
      </c>
    </row>
    <row r="20" customFormat="false" ht="30" hidden="false" customHeight="true" outlineLevel="0" collapsed="false">
      <c r="A20" s="5" t="s">
        <v>96</v>
      </c>
      <c r="B20" s="5" t="s">
        <v>97</v>
      </c>
      <c r="C20" s="5" t="s">
        <v>250</v>
      </c>
      <c r="D20" s="27" t="s">
        <v>32</v>
      </c>
      <c r="E20" s="25" t="s">
        <v>251</v>
      </c>
      <c r="F20" s="25" t="s">
        <v>252</v>
      </c>
      <c r="G20" s="25" t="s">
        <v>27</v>
      </c>
      <c r="H20" s="25" t="s">
        <v>253</v>
      </c>
    </row>
    <row r="21" customFormat="false" ht="30" hidden="false" customHeight="true" outlineLevel="0" collapsed="false">
      <c r="A21" s="11" t="s">
        <v>100</v>
      </c>
      <c r="B21" s="11" t="s">
        <v>101</v>
      </c>
      <c r="C21" s="11" t="s">
        <v>254</v>
      </c>
      <c r="D21" s="24" t="s">
        <v>18</v>
      </c>
      <c r="E21" s="25" t="s">
        <v>255</v>
      </c>
      <c r="F21" s="25" t="s">
        <v>256</v>
      </c>
      <c r="G21" s="25" t="s">
        <v>19</v>
      </c>
      <c r="H21" s="25" t="s">
        <v>257</v>
      </c>
    </row>
    <row r="22" customFormat="false" ht="30" hidden="false" customHeight="true" outlineLevel="0" collapsed="false">
      <c r="A22" s="5" t="s">
        <v>104</v>
      </c>
      <c r="B22" s="5" t="s">
        <v>105</v>
      </c>
      <c r="C22" s="5" t="s">
        <v>258</v>
      </c>
      <c r="D22" s="26" t="s">
        <v>26</v>
      </c>
      <c r="E22" s="25" t="s">
        <v>259</v>
      </c>
      <c r="F22" s="25" t="s">
        <v>208</v>
      </c>
      <c r="G22" s="25" t="s">
        <v>27</v>
      </c>
      <c r="H22" s="25" t="s">
        <v>260</v>
      </c>
    </row>
    <row r="23" customFormat="false" ht="30" hidden="false" customHeight="true" outlineLevel="0" collapsed="false">
      <c r="A23" s="11" t="s">
        <v>108</v>
      </c>
      <c r="B23" s="11" t="s">
        <v>109</v>
      </c>
      <c r="C23" s="11" t="s">
        <v>261</v>
      </c>
      <c r="D23" s="26" t="s">
        <v>26</v>
      </c>
      <c r="E23" s="25" t="s">
        <v>262</v>
      </c>
      <c r="F23" s="25" t="s">
        <v>208</v>
      </c>
      <c r="G23" s="25" t="s">
        <v>27</v>
      </c>
      <c r="H23" s="25" t="s">
        <v>263</v>
      </c>
    </row>
    <row r="24" customFormat="false" ht="30" hidden="false" customHeight="true" outlineLevel="0" collapsed="false">
      <c r="A24" s="5" t="s">
        <v>112</v>
      </c>
      <c r="B24" s="5" t="s">
        <v>113</v>
      </c>
      <c r="C24" s="5" t="s">
        <v>264</v>
      </c>
      <c r="D24" s="24" t="s">
        <v>18</v>
      </c>
      <c r="E24" s="25" t="s">
        <v>265</v>
      </c>
      <c r="F24" s="25" t="s">
        <v>266</v>
      </c>
      <c r="G24" s="25" t="s">
        <v>19</v>
      </c>
      <c r="H24" s="25" t="s">
        <v>267</v>
      </c>
    </row>
    <row r="25" customFormat="false" ht="30" hidden="false" customHeight="true" outlineLevel="0" collapsed="false">
      <c r="A25" s="11" t="s">
        <v>117</v>
      </c>
      <c r="B25" s="11" t="s">
        <v>118</v>
      </c>
      <c r="C25" s="11" t="s">
        <v>268</v>
      </c>
      <c r="D25" s="26" t="s">
        <v>26</v>
      </c>
      <c r="E25" s="25" t="s">
        <v>269</v>
      </c>
      <c r="F25" s="25" t="s">
        <v>270</v>
      </c>
      <c r="G25" s="25" t="s">
        <v>27</v>
      </c>
      <c r="H25" s="25" t="s">
        <v>271</v>
      </c>
    </row>
    <row r="26" customFormat="false" ht="30" hidden="false" customHeight="true" outlineLevel="0" collapsed="false">
      <c r="A26" s="5" t="s">
        <v>121</v>
      </c>
      <c r="B26" s="5" t="s">
        <v>122</v>
      </c>
      <c r="C26" s="5" t="s">
        <v>272</v>
      </c>
      <c r="D26" s="26" t="s">
        <v>26</v>
      </c>
      <c r="E26" s="25" t="s">
        <v>273</v>
      </c>
      <c r="F26" s="25" t="s">
        <v>208</v>
      </c>
      <c r="G26" s="25" t="s">
        <v>27</v>
      </c>
      <c r="H26" s="25" t="s">
        <v>274</v>
      </c>
    </row>
    <row r="27" customFormat="false" ht="30" hidden="false" customHeight="true" outlineLevel="0" collapsed="false">
      <c r="A27" s="11" t="s">
        <v>125</v>
      </c>
      <c r="B27" s="11" t="s">
        <v>126</v>
      </c>
      <c r="C27" s="11" t="s">
        <v>275</v>
      </c>
      <c r="D27" s="27" t="s">
        <v>32</v>
      </c>
      <c r="E27" s="25" t="s">
        <v>276</v>
      </c>
      <c r="F27" s="25" t="s">
        <v>277</v>
      </c>
      <c r="G27" s="25" t="s">
        <v>27</v>
      </c>
      <c r="H27" s="25" t="s">
        <v>278</v>
      </c>
    </row>
    <row r="28" customFormat="false" ht="30" hidden="false" customHeight="true" outlineLevel="0" collapsed="false">
      <c r="A28" s="5" t="s">
        <v>129</v>
      </c>
      <c r="B28" s="5" t="s">
        <v>130</v>
      </c>
      <c r="C28" s="5" t="s">
        <v>279</v>
      </c>
      <c r="D28" s="26" t="s">
        <v>26</v>
      </c>
      <c r="E28" s="25" t="s">
        <v>280</v>
      </c>
      <c r="F28" s="25" t="s">
        <v>208</v>
      </c>
      <c r="G28" s="25" t="s">
        <v>27</v>
      </c>
      <c r="H28" s="25" t="s">
        <v>281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3"/>
  </cols>
  <sheetData>
    <row r="1" customFormat="false" ht="27.75" hidden="false" customHeight="true" outlineLevel="0" collapsed="false">
      <c r="A1" s="1" t="s">
        <v>282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283</v>
      </c>
      <c r="B2" s="2"/>
      <c r="C2" s="2"/>
      <c r="D2" s="2"/>
      <c r="E2" s="2"/>
      <c r="F2" s="2"/>
      <c r="G2" s="2"/>
    </row>
    <row r="3" customFormat="false" ht="36" hidden="false" customHeight="true" outlineLevel="0" collapsed="false">
      <c r="A3" s="23" t="s">
        <v>2</v>
      </c>
      <c r="B3" s="23" t="s">
        <v>3</v>
      </c>
      <c r="C3" s="23" t="s">
        <v>180</v>
      </c>
      <c r="D3" s="23" t="s">
        <v>284</v>
      </c>
      <c r="E3" s="23" t="s">
        <v>285</v>
      </c>
      <c r="F3" s="23" t="s">
        <v>286</v>
      </c>
      <c r="G3" s="23" t="s">
        <v>287</v>
      </c>
    </row>
    <row r="4" customFormat="false" ht="18" hidden="false" customHeight="true" outlineLevel="0" collapsed="false">
      <c r="A4" s="4" t="s">
        <v>14</v>
      </c>
      <c r="B4" s="5" t="s">
        <v>15</v>
      </c>
      <c r="C4" s="5" t="s">
        <v>186</v>
      </c>
      <c r="D4" s="4" t="n">
        <v>180</v>
      </c>
      <c r="E4" s="4" t="n">
        <v>172</v>
      </c>
      <c r="F4" s="4" t="n">
        <v>8</v>
      </c>
      <c r="G4" s="7" t="n">
        <f aca="false">E4/D4</f>
        <v>0.955555555555556</v>
      </c>
    </row>
    <row r="5" customFormat="false" ht="18" hidden="false" customHeight="true" outlineLevel="0" collapsed="false">
      <c r="A5" s="10" t="s">
        <v>22</v>
      </c>
      <c r="B5" s="11" t="s">
        <v>23</v>
      </c>
      <c r="C5" s="11" t="s">
        <v>190</v>
      </c>
      <c r="D5" s="10" t="n">
        <v>320</v>
      </c>
      <c r="E5" s="10" t="n">
        <v>118</v>
      </c>
      <c r="F5" s="10" t="n">
        <v>202</v>
      </c>
      <c r="G5" s="13" t="n">
        <f aca="false">E5/D5</f>
        <v>0.36875</v>
      </c>
    </row>
    <row r="6" customFormat="false" ht="18" hidden="false" customHeight="true" outlineLevel="0" collapsed="false">
      <c r="A6" s="4" t="s">
        <v>30</v>
      </c>
      <c r="B6" s="5" t="s">
        <v>31</v>
      </c>
      <c r="C6" s="5" t="s">
        <v>194</v>
      </c>
      <c r="D6" s="4" t="n">
        <v>140</v>
      </c>
      <c r="E6" s="4" t="n">
        <v>136</v>
      </c>
      <c r="F6" s="4" t="n">
        <v>4</v>
      </c>
      <c r="G6" s="7" t="n">
        <f aca="false">E6/D6</f>
        <v>0.971428571428571</v>
      </c>
    </row>
    <row r="7" customFormat="false" ht="18" hidden="false" customHeight="true" outlineLevel="0" collapsed="false">
      <c r="A7" s="10" t="s">
        <v>35</v>
      </c>
      <c r="B7" s="11" t="s">
        <v>36</v>
      </c>
      <c r="C7" s="11" t="s">
        <v>198</v>
      </c>
      <c r="D7" s="10" t="n">
        <v>280</v>
      </c>
      <c r="E7" s="10" t="n">
        <v>52</v>
      </c>
      <c r="F7" s="10" t="n">
        <v>228</v>
      </c>
      <c r="G7" s="13" t="n">
        <f aca="false">E7/D7</f>
        <v>0.185714285714286</v>
      </c>
    </row>
    <row r="8" customFormat="false" ht="18" hidden="false" customHeight="true" outlineLevel="0" collapsed="false">
      <c r="A8" s="4" t="s">
        <v>40</v>
      </c>
      <c r="B8" s="5" t="s">
        <v>41</v>
      </c>
      <c r="C8" s="5" t="s">
        <v>202</v>
      </c>
      <c r="D8" s="4" t="n">
        <v>60</v>
      </c>
      <c r="E8" s="4" t="n">
        <v>57</v>
      </c>
      <c r="F8" s="4" t="n">
        <v>3</v>
      </c>
      <c r="G8" s="7" t="n">
        <f aca="false">E8/D8</f>
        <v>0.95</v>
      </c>
    </row>
    <row r="9" customFormat="false" ht="18" hidden="false" customHeight="true" outlineLevel="0" collapsed="false">
      <c r="A9" s="10" t="s">
        <v>45</v>
      </c>
      <c r="B9" s="11" t="s">
        <v>46</v>
      </c>
      <c r="C9" s="11" t="s">
        <v>206</v>
      </c>
      <c r="D9" s="10" t="n">
        <v>160</v>
      </c>
      <c r="E9" s="10" t="n">
        <v>78</v>
      </c>
      <c r="F9" s="10" t="n">
        <v>82</v>
      </c>
      <c r="G9" s="13" t="n">
        <f aca="false">E9/D9</f>
        <v>0.4875</v>
      </c>
    </row>
    <row r="10" customFormat="false" ht="18" hidden="false" customHeight="true" outlineLevel="0" collapsed="false">
      <c r="A10" s="4" t="s">
        <v>50</v>
      </c>
      <c r="B10" s="5" t="s">
        <v>51</v>
      </c>
      <c r="C10" s="5" t="s">
        <v>210</v>
      </c>
      <c r="D10" s="4" t="n">
        <v>110</v>
      </c>
      <c r="E10" s="4" t="n">
        <v>108</v>
      </c>
      <c r="F10" s="4" t="n">
        <v>2</v>
      </c>
      <c r="G10" s="7" t="n">
        <f aca="false">E10/D10</f>
        <v>0.981818181818182</v>
      </c>
    </row>
    <row r="11" customFormat="false" ht="18" hidden="false" customHeight="true" outlineLevel="0" collapsed="false">
      <c r="A11" s="10" t="s">
        <v>56</v>
      </c>
      <c r="B11" s="11" t="s">
        <v>57</v>
      </c>
      <c r="C11" s="11" t="s">
        <v>215</v>
      </c>
      <c r="D11" s="10" t="n">
        <v>230</v>
      </c>
      <c r="E11" s="10" t="n">
        <v>32</v>
      </c>
      <c r="F11" s="10" t="n">
        <v>198</v>
      </c>
      <c r="G11" s="13" t="n">
        <f aca="false">E11/D11</f>
        <v>0.139130434782609</v>
      </c>
    </row>
    <row r="12" customFormat="false" ht="18" hidden="false" customHeight="true" outlineLevel="0" collapsed="false">
      <c r="A12" s="4" t="s">
        <v>60</v>
      </c>
      <c r="B12" s="5" t="s">
        <v>61</v>
      </c>
      <c r="C12" s="5" t="s">
        <v>219</v>
      </c>
      <c r="D12" s="4" t="n">
        <v>360</v>
      </c>
      <c r="E12" s="4" t="n">
        <v>104</v>
      </c>
      <c r="F12" s="4" t="n">
        <v>256</v>
      </c>
      <c r="G12" s="7" t="n">
        <f aca="false">E12/D12</f>
        <v>0.288888888888889</v>
      </c>
    </row>
    <row r="13" customFormat="false" ht="18" hidden="false" customHeight="true" outlineLevel="0" collapsed="false">
      <c r="A13" s="10" t="s">
        <v>65</v>
      </c>
      <c r="B13" s="11" t="s">
        <v>66</v>
      </c>
      <c r="C13" s="11" t="s">
        <v>224</v>
      </c>
      <c r="D13" s="10" t="n">
        <v>185</v>
      </c>
      <c r="E13" s="10" t="n">
        <v>58</v>
      </c>
      <c r="F13" s="10" t="n">
        <v>127</v>
      </c>
      <c r="G13" s="13" t="n">
        <f aca="false">E13/D13</f>
        <v>0.313513513513514</v>
      </c>
    </row>
    <row r="14" customFormat="false" ht="18" hidden="false" customHeight="true" outlineLevel="0" collapsed="false">
      <c r="A14" s="4" t="s">
        <v>71</v>
      </c>
      <c r="B14" s="5" t="s">
        <v>72</v>
      </c>
      <c r="C14" s="5" t="s">
        <v>229</v>
      </c>
      <c r="D14" s="4" t="n">
        <v>85</v>
      </c>
      <c r="E14" s="4" t="n">
        <v>82</v>
      </c>
      <c r="F14" s="4" t="n">
        <v>3</v>
      </c>
      <c r="G14" s="7" t="n">
        <f aca="false">E14/D14</f>
        <v>0.964705882352941</v>
      </c>
    </row>
    <row r="15" customFormat="false" ht="18" hidden="false" customHeight="true" outlineLevel="0" collapsed="false">
      <c r="A15" s="10" t="s">
        <v>75</v>
      </c>
      <c r="B15" s="11" t="s">
        <v>76</v>
      </c>
      <c r="C15" s="11" t="s">
        <v>233</v>
      </c>
      <c r="D15" s="10" t="n">
        <v>150</v>
      </c>
      <c r="E15" s="10" t="n">
        <v>42</v>
      </c>
      <c r="F15" s="10" t="n">
        <v>108</v>
      </c>
      <c r="G15" s="13" t="n">
        <f aca="false">E15/D15</f>
        <v>0.28</v>
      </c>
    </row>
    <row r="16" customFormat="false" ht="18" hidden="false" customHeight="true" outlineLevel="0" collapsed="false">
      <c r="A16" s="4" t="s">
        <v>79</v>
      </c>
      <c r="B16" s="5" t="s">
        <v>80</v>
      </c>
      <c r="C16" s="5" t="s">
        <v>236</v>
      </c>
      <c r="D16" s="4" t="n">
        <v>240</v>
      </c>
      <c r="E16" s="4" t="n">
        <v>91</v>
      </c>
      <c r="F16" s="4" t="n">
        <v>149</v>
      </c>
      <c r="G16" s="7" t="n">
        <f aca="false">E16/D16</f>
        <v>0.379166666666667</v>
      </c>
    </row>
    <row r="17" customFormat="false" ht="18" hidden="false" customHeight="true" outlineLevel="0" collapsed="false">
      <c r="A17" s="10" t="s">
        <v>83</v>
      </c>
      <c r="B17" s="11" t="s">
        <v>84</v>
      </c>
      <c r="C17" s="11" t="s">
        <v>240</v>
      </c>
      <c r="D17" s="10" t="n">
        <v>48</v>
      </c>
      <c r="E17" s="10" t="n">
        <v>46</v>
      </c>
      <c r="F17" s="10" t="n">
        <v>2</v>
      </c>
      <c r="G17" s="13" t="n">
        <f aca="false">E17/D17</f>
        <v>0.958333333333333</v>
      </c>
    </row>
    <row r="18" customFormat="false" ht="18" hidden="false" customHeight="true" outlineLevel="0" collapsed="false">
      <c r="A18" s="4" t="s">
        <v>87</v>
      </c>
      <c r="B18" s="5" t="s">
        <v>88</v>
      </c>
      <c r="C18" s="5" t="s">
        <v>244</v>
      </c>
      <c r="D18" s="4" t="n">
        <v>195</v>
      </c>
      <c r="E18" s="4" t="n">
        <v>70</v>
      </c>
      <c r="F18" s="4" t="n">
        <v>125</v>
      </c>
      <c r="G18" s="7" t="n">
        <f aca="false">E18/D18</f>
        <v>0.358974358974359</v>
      </c>
    </row>
    <row r="19" customFormat="false" ht="18" hidden="false" customHeight="true" outlineLevel="0" collapsed="false">
      <c r="A19" s="10" t="s">
        <v>92</v>
      </c>
      <c r="B19" s="11" t="s">
        <v>93</v>
      </c>
      <c r="C19" s="11" t="s">
        <v>247</v>
      </c>
      <c r="D19" s="10" t="n">
        <v>320</v>
      </c>
      <c r="E19" s="10" t="n">
        <v>26</v>
      </c>
      <c r="F19" s="10" t="n">
        <v>294</v>
      </c>
      <c r="G19" s="13" t="n">
        <f aca="false">E19/D19</f>
        <v>0.08125</v>
      </c>
    </row>
    <row r="20" customFormat="false" ht="18" hidden="false" customHeight="true" outlineLevel="0" collapsed="false">
      <c r="A20" s="4" t="s">
        <v>96</v>
      </c>
      <c r="B20" s="5" t="s">
        <v>97</v>
      </c>
      <c r="C20" s="5" t="s">
        <v>250</v>
      </c>
      <c r="D20" s="4" t="n">
        <v>310</v>
      </c>
      <c r="E20" s="4" t="n">
        <v>132</v>
      </c>
      <c r="F20" s="4" t="n">
        <v>178</v>
      </c>
      <c r="G20" s="7" t="n">
        <f aca="false">E20/D20</f>
        <v>0.425806451612903</v>
      </c>
    </row>
    <row r="21" customFormat="false" ht="18" hidden="false" customHeight="true" outlineLevel="0" collapsed="false">
      <c r="A21" s="10" t="s">
        <v>100</v>
      </c>
      <c r="B21" s="11" t="s">
        <v>101</v>
      </c>
      <c r="C21" s="11" t="s">
        <v>254</v>
      </c>
      <c r="D21" s="10" t="n">
        <v>75</v>
      </c>
      <c r="E21" s="10" t="n">
        <v>73</v>
      </c>
      <c r="F21" s="10" t="n">
        <v>2</v>
      </c>
      <c r="G21" s="13" t="n">
        <f aca="false">E21/D21</f>
        <v>0.973333333333333</v>
      </c>
    </row>
    <row r="22" customFormat="false" ht="18" hidden="false" customHeight="true" outlineLevel="0" collapsed="false">
      <c r="A22" s="4" t="s">
        <v>104</v>
      </c>
      <c r="B22" s="5" t="s">
        <v>105</v>
      </c>
      <c r="C22" s="5" t="s">
        <v>258</v>
      </c>
      <c r="D22" s="4" t="n">
        <v>260</v>
      </c>
      <c r="E22" s="4" t="n">
        <v>112</v>
      </c>
      <c r="F22" s="4" t="n">
        <v>148</v>
      </c>
      <c r="G22" s="7" t="n">
        <f aca="false">E22/D22</f>
        <v>0.430769230769231</v>
      </c>
    </row>
    <row r="23" customFormat="false" ht="18" hidden="false" customHeight="true" outlineLevel="0" collapsed="false">
      <c r="A23" s="10" t="s">
        <v>108</v>
      </c>
      <c r="B23" s="11" t="s">
        <v>109</v>
      </c>
      <c r="C23" s="11" t="s">
        <v>261</v>
      </c>
      <c r="D23" s="10" t="n">
        <v>170</v>
      </c>
      <c r="E23" s="10" t="n">
        <v>40</v>
      </c>
      <c r="F23" s="10" t="n">
        <v>130</v>
      </c>
      <c r="G23" s="13" t="n">
        <f aca="false">E23/D23</f>
        <v>0.235294117647059</v>
      </c>
    </row>
    <row r="24" customFormat="false" ht="18" hidden="false" customHeight="true" outlineLevel="0" collapsed="false">
      <c r="A24" s="4" t="s">
        <v>112</v>
      </c>
      <c r="B24" s="5" t="s">
        <v>113</v>
      </c>
      <c r="C24" s="5" t="s">
        <v>264</v>
      </c>
      <c r="D24" s="4" t="n">
        <v>200</v>
      </c>
      <c r="E24" s="4" t="n">
        <v>100</v>
      </c>
      <c r="F24" s="4" t="n">
        <v>100</v>
      </c>
      <c r="G24" s="7" t="n">
        <f aca="false">E24/D24</f>
        <v>0.5</v>
      </c>
    </row>
    <row r="25" customFormat="false" ht="18" hidden="false" customHeight="true" outlineLevel="0" collapsed="false">
      <c r="A25" s="10" t="s">
        <v>117</v>
      </c>
      <c r="B25" s="11" t="s">
        <v>118</v>
      </c>
      <c r="C25" s="11" t="s">
        <v>268</v>
      </c>
      <c r="D25" s="10" t="n">
        <v>285</v>
      </c>
      <c r="E25" s="10" t="n">
        <v>118</v>
      </c>
      <c r="F25" s="10" t="n">
        <v>167</v>
      </c>
      <c r="G25" s="13" t="n">
        <f aca="false">E25/D25</f>
        <v>0.414035087719298</v>
      </c>
    </row>
    <row r="26" customFormat="false" ht="18" hidden="false" customHeight="true" outlineLevel="0" collapsed="false">
      <c r="A26" s="4" t="s">
        <v>121</v>
      </c>
      <c r="B26" s="5" t="s">
        <v>122</v>
      </c>
      <c r="C26" s="5" t="s">
        <v>272</v>
      </c>
      <c r="D26" s="4" t="n">
        <v>215</v>
      </c>
      <c r="E26" s="4" t="n">
        <v>96</v>
      </c>
      <c r="F26" s="4" t="n">
        <v>119</v>
      </c>
      <c r="G26" s="7" t="n">
        <f aca="false">E26/D26</f>
        <v>0.446511627906977</v>
      </c>
    </row>
    <row r="27" customFormat="false" ht="18" hidden="false" customHeight="true" outlineLevel="0" collapsed="false">
      <c r="A27" s="10" t="s">
        <v>125</v>
      </c>
      <c r="B27" s="11" t="s">
        <v>126</v>
      </c>
      <c r="C27" s="11" t="s">
        <v>275</v>
      </c>
      <c r="D27" s="10" t="n">
        <v>130</v>
      </c>
      <c r="E27" s="10" t="n">
        <v>125</v>
      </c>
      <c r="F27" s="10" t="n">
        <v>5</v>
      </c>
      <c r="G27" s="13" t="n">
        <f aca="false">E27/D27</f>
        <v>0.961538461538462</v>
      </c>
    </row>
    <row r="28" customFormat="false" ht="18" hidden="false" customHeight="true" outlineLevel="0" collapsed="false">
      <c r="A28" s="4" t="s">
        <v>129</v>
      </c>
      <c r="B28" s="5" t="s">
        <v>130</v>
      </c>
      <c r="C28" s="5" t="s">
        <v>279</v>
      </c>
      <c r="D28" s="4" t="n">
        <v>240</v>
      </c>
      <c r="E28" s="4" t="n">
        <v>88</v>
      </c>
      <c r="F28" s="4" t="n">
        <v>152</v>
      </c>
      <c r="G28" s="7" t="n">
        <f aca="false">E28/D28</f>
        <v>0.366666666666667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6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40"/>
  </cols>
  <sheetData>
    <row r="1" customFormat="false" ht="27.75" hidden="false" customHeight="true" outlineLevel="0" collapsed="false">
      <c r="A1" s="1" t="s">
        <v>288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289</v>
      </c>
      <c r="B2" s="2"/>
      <c r="C2" s="2"/>
      <c r="D2" s="2"/>
      <c r="E2" s="2"/>
      <c r="F2" s="2"/>
      <c r="G2" s="2"/>
      <c r="H2" s="2"/>
    </row>
    <row r="3" customFormat="false" ht="39.75" hidden="false" customHeight="true" outlineLevel="0" collapsed="false">
      <c r="A3" s="23" t="s">
        <v>2</v>
      </c>
      <c r="B3" s="23" t="s">
        <v>3</v>
      </c>
      <c r="C3" s="23" t="s">
        <v>290</v>
      </c>
      <c r="D3" s="23" t="s">
        <v>291</v>
      </c>
      <c r="E3" s="23" t="s">
        <v>292</v>
      </c>
      <c r="F3" s="23" t="s">
        <v>293</v>
      </c>
      <c r="G3" s="23" t="s">
        <v>294</v>
      </c>
      <c r="H3" s="23" t="s">
        <v>295</v>
      </c>
    </row>
    <row r="4" customFormat="false" ht="19.5" hidden="false" customHeight="true" outlineLevel="0" collapsed="false">
      <c r="A4" s="4" t="s">
        <v>14</v>
      </c>
      <c r="B4" s="5" t="s">
        <v>296</v>
      </c>
      <c r="C4" s="5" t="s">
        <v>297</v>
      </c>
      <c r="D4" s="4" t="s">
        <v>298</v>
      </c>
      <c r="E4" s="4"/>
      <c r="F4" s="8" t="s">
        <v>114</v>
      </c>
      <c r="G4" s="4"/>
      <c r="H4" s="5" t="s">
        <v>299</v>
      </c>
    </row>
    <row r="5" customFormat="false" ht="19.5" hidden="false" customHeight="true" outlineLevel="0" collapsed="false">
      <c r="A5" s="10" t="s">
        <v>14</v>
      </c>
      <c r="B5" s="11" t="s">
        <v>296</v>
      </c>
      <c r="C5" s="11" t="s">
        <v>300</v>
      </c>
      <c r="D5" s="10" t="s">
        <v>301</v>
      </c>
      <c r="E5" s="10"/>
      <c r="F5" s="15" t="s">
        <v>302</v>
      </c>
      <c r="G5" s="10"/>
      <c r="H5" s="11" t="s">
        <v>303</v>
      </c>
    </row>
    <row r="6" customFormat="false" ht="19.5" hidden="false" customHeight="true" outlineLevel="0" collapsed="false">
      <c r="A6" s="4" t="s">
        <v>22</v>
      </c>
      <c r="B6" s="5" t="s">
        <v>304</v>
      </c>
      <c r="C6" s="5" t="s">
        <v>305</v>
      </c>
      <c r="D6" s="4" t="s">
        <v>301</v>
      </c>
      <c r="E6" s="4"/>
      <c r="F6" s="15" t="s">
        <v>302</v>
      </c>
      <c r="G6" s="4"/>
      <c r="H6" s="5" t="s">
        <v>306</v>
      </c>
    </row>
    <row r="7" customFormat="false" ht="19.5" hidden="false" customHeight="true" outlineLevel="0" collapsed="false">
      <c r="A7" s="10" t="s">
        <v>22</v>
      </c>
      <c r="B7" s="11" t="s">
        <v>304</v>
      </c>
      <c r="C7" s="11" t="s">
        <v>307</v>
      </c>
      <c r="D7" s="10" t="s">
        <v>298</v>
      </c>
      <c r="E7" s="10" t="s">
        <v>308</v>
      </c>
      <c r="F7" s="14" t="s">
        <v>89</v>
      </c>
      <c r="G7" s="10"/>
      <c r="H7" s="11" t="s">
        <v>309</v>
      </c>
    </row>
    <row r="8" customFormat="false" ht="19.5" hidden="false" customHeight="true" outlineLevel="0" collapsed="false">
      <c r="A8" s="4" t="s">
        <v>30</v>
      </c>
      <c r="B8" s="5" t="s">
        <v>310</v>
      </c>
      <c r="C8" s="5" t="s">
        <v>311</v>
      </c>
      <c r="D8" s="4" t="s">
        <v>312</v>
      </c>
      <c r="E8" s="4"/>
      <c r="F8" s="15" t="s">
        <v>302</v>
      </c>
      <c r="G8" s="4"/>
      <c r="H8" s="5" t="s">
        <v>313</v>
      </c>
    </row>
    <row r="9" customFormat="false" ht="19.5" hidden="false" customHeight="true" outlineLevel="0" collapsed="false">
      <c r="A9" s="10" t="s">
        <v>30</v>
      </c>
      <c r="B9" s="11" t="s">
        <v>310</v>
      </c>
      <c r="C9" s="11" t="s">
        <v>314</v>
      </c>
      <c r="D9" s="10" t="s">
        <v>315</v>
      </c>
      <c r="E9" s="10"/>
      <c r="F9" s="8" t="s">
        <v>114</v>
      </c>
      <c r="G9" s="16" t="n">
        <v>31</v>
      </c>
      <c r="H9" s="11" t="s">
        <v>316</v>
      </c>
    </row>
    <row r="10" customFormat="false" ht="19.5" hidden="false" customHeight="true" outlineLevel="0" collapsed="false">
      <c r="A10" s="4" t="s">
        <v>35</v>
      </c>
      <c r="B10" s="5" t="s">
        <v>317</v>
      </c>
      <c r="C10" s="5" t="s">
        <v>318</v>
      </c>
      <c r="D10" s="4" t="s">
        <v>319</v>
      </c>
      <c r="E10" s="4"/>
      <c r="F10" s="15" t="s">
        <v>302</v>
      </c>
      <c r="G10" s="4"/>
      <c r="H10" s="5" t="s">
        <v>320</v>
      </c>
    </row>
    <row r="11" customFormat="false" ht="19.5" hidden="false" customHeight="true" outlineLevel="0" collapsed="false">
      <c r="A11" s="10" t="s">
        <v>40</v>
      </c>
      <c r="B11" s="11" t="s">
        <v>321</v>
      </c>
      <c r="C11" s="11" t="s">
        <v>322</v>
      </c>
      <c r="D11" s="10" t="s">
        <v>323</v>
      </c>
      <c r="E11" s="10"/>
      <c r="F11" s="15" t="s">
        <v>302</v>
      </c>
      <c r="G11" s="10"/>
      <c r="H11" s="11" t="s">
        <v>324</v>
      </c>
    </row>
    <row r="12" customFormat="false" ht="19.5" hidden="false" customHeight="true" outlineLevel="0" collapsed="false">
      <c r="A12" s="4" t="s">
        <v>45</v>
      </c>
      <c r="B12" s="5" t="s">
        <v>325</v>
      </c>
      <c r="C12" s="5" t="s">
        <v>326</v>
      </c>
      <c r="D12" s="4" t="s">
        <v>327</v>
      </c>
      <c r="E12" s="4"/>
      <c r="F12" s="15" t="s">
        <v>302</v>
      </c>
      <c r="G12" s="4"/>
      <c r="H12" s="5" t="s">
        <v>328</v>
      </c>
    </row>
    <row r="13" customFormat="false" ht="19.5" hidden="false" customHeight="true" outlineLevel="0" collapsed="false">
      <c r="A13" s="10" t="s">
        <v>50</v>
      </c>
      <c r="B13" s="11" t="s">
        <v>329</v>
      </c>
      <c r="C13" s="11" t="s">
        <v>330</v>
      </c>
      <c r="D13" s="10" t="s">
        <v>331</v>
      </c>
      <c r="E13" s="10"/>
      <c r="F13" s="8" t="s">
        <v>114</v>
      </c>
      <c r="G13" s="16" t="n">
        <v>14</v>
      </c>
      <c r="H13" s="11" t="s">
        <v>332</v>
      </c>
    </row>
    <row r="14" customFormat="false" ht="19.5" hidden="false" customHeight="true" outlineLevel="0" collapsed="false">
      <c r="A14" s="4" t="s">
        <v>50</v>
      </c>
      <c r="B14" s="5" t="s">
        <v>329</v>
      </c>
      <c r="C14" s="5" t="s">
        <v>333</v>
      </c>
      <c r="D14" s="4" t="s">
        <v>334</v>
      </c>
      <c r="E14" s="4"/>
      <c r="F14" s="15" t="s">
        <v>302</v>
      </c>
      <c r="G14" s="4"/>
      <c r="H14" s="5" t="s">
        <v>335</v>
      </c>
    </row>
    <row r="15" customFormat="false" ht="19.5" hidden="false" customHeight="true" outlineLevel="0" collapsed="false">
      <c r="A15" s="10" t="s">
        <v>56</v>
      </c>
      <c r="B15" s="11" t="s">
        <v>57</v>
      </c>
      <c r="C15" s="11" t="s">
        <v>336</v>
      </c>
      <c r="D15" s="10" t="s">
        <v>301</v>
      </c>
      <c r="E15" s="10"/>
      <c r="F15" s="15" t="s">
        <v>302</v>
      </c>
      <c r="G15" s="10"/>
      <c r="H15" s="11" t="s">
        <v>337</v>
      </c>
    </row>
    <row r="16" customFormat="false" ht="19.5" hidden="false" customHeight="true" outlineLevel="0" collapsed="false">
      <c r="A16" s="4" t="s">
        <v>60</v>
      </c>
      <c r="B16" s="5" t="s">
        <v>338</v>
      </c>
      <c r="C16" s="5" t="s">
        <v>339</v>
      </c>
      <c r="D16" s="4" t="s">
        <v>340</v>
      </c>
      <c r="E16" s="4"/>
      <c r="F16" s="15" t="s">
        <v>302</v>
      </c>
      <c r="G16" s="4"/>
      <c r="H16" s="5" t="s">
        <v>341</v>
      </c>
    </row>
    <row r="17" customFormat="false" ht="19.5" hidden="false" customHeight="true" outlineLevel="0" collapsed="false">
      <c r="A17" s="10" t="s">
        <v>65</v>
      </c>
      <c r="B17" s="11" t="s">
        <v>342</v>
      </c>
      <c r="C17" s="11" t="s">
        <v>343</v>
      </c>
      <c r="D17" s="10" t="s">
        <v>334</v>
      </c>
      <c r="E17" s="10"/>
      <c r="F17" s="15" t="s">
        <v>302</v>
      </c>
      <c r="G17" s="10"/>
      <c r="H17" s="11" t="s">
        <v>344</v>
      </c>
    </row>
    <row r="18" customFormat="false" ht="19.5" hidden="false" customHeight="true" outlineLevel="0" collapsed="false">
      <c r="A18" s="4" t="s">
        <v>71</v>
      </c>
      <c r="B18" s="5" t="s">
        <v>345</v>
      </c>
      <c r="C18" s="5" t="s">
        <v>346</v>
      </c>
      <c r="D18" s="4" t="s">
        <v>298</v>
      </c>
      <c r="E18" s="4" t="s">
        <v>347</v>
      </c>
      <c r="F18" s="14" t="s">
        <v>89</v>
      </c>
      <c r="G18" s="4"/>
      <c r="H18" s="5" t="s">
        <v>348</v>
      </c>
    </row>
    <row r="19" customFormat="false" ht="19.5" hidden="false" customHeight="true" outlineLevel="0" collapsed="false">
      <c r="A19" s="10" t="s">
        <v>71</v>
      </c>
      <c r="B19" s="11" t="s">
        <v>345</v>
      </c>
      <c r="C19" s="11" t="s">
        <v>349</v>
      </c>
      <c r="D19" s="10" t="s">
        <v>301</v>
      </c>
      <c r="E19" s="10"/>
      <c r="F19" s="15" t="s">
        <v>302</v>
      </c>
      <c r="G19" s="10"/>
      <c r="H19" s="11" t="s">
        <v>350</v>
      </c>
    </row>
    <row r="20" customFormat="false" ht="19.5" hidden="false" customHeight="true" outlineLevel="0" collapsed="false">
      <c r="A20" s="4" t="s">
        <v>75</v>
      </c>
      <c r="B20" s="5" t="s">
        <v>351</v>
      </c>
      <c r="C20" s="5" t="s">
        <v>352</v>
      </c>
      <c r="D20" s="4" t="s">
        <v>312</v>
      </c>
      <c r="E20" s="4"/>
      <c r="F20" s="15" t="s">
        <v>302</v>
      </c>
      <c r="G20" s="4"/>
      <c r="H20" s="5" t="s">
        <v>353</v>
      </c>
    </row>
    <row r="21" customFormat="false" ht="19.5" hidden="false" customHeight="true" outlineLevel="0" collapsed="false">
      <c r="A21" s="10" t="s">
        <v>79</v>
      </c>
      <c r="B21" s="11" t="s">
        <v>354</v>
      </c>
      <c r="C21" s="11" t="s">
        <v>355</v>
      </c>
      <c r="D21" s="10" t="s">
        <v>356</v>
      </c>
      <c r="E21" s="10"/>
      <c r="F21" s="15" t="s">
        <v>302</v>
      </c>
      <c r="G21" s="10"/>
      <c r="H21" s="11" t="s">
        <v>357</v>
      </c>
    </row>
    <row r="22" customFormat="false" ht="19.5" hidden="false" customHeight="true" outlineLevel="0" collapsed="false">
      <c r="A22" s="4" t="s">
        <v>83</v>
      </c>
      <c r="B22" s="5" t="s">
        <v>358</v>
      </c>
      <c r="C22" s="5" t="s">
        <v>359</v>
      </c>
      <c r="D22" s="4" t="s">
        <v>334</v>
      </c>
      <c r="E22" s="4"/>
      <c r="F22" s="15" t="s">
        <v>302</v>
      </c>
      <c r="G22" s="4"/>
      <c r="H22" s="5" t="s">
        <v>360</v>
      </c>
    </row>
    <row r="23" customFormat="false" ht="19.5" hidden="false" customHeight="true" outlineLevel="0" collapsed="false">
      <c r="A23" s="10" t="s">
        <v>87</v>
      </c>
      <c r="B23" s="11" t="s">
        <v>361</v>
      </c>
      <c r="C23" s="11" t="s">
        <v>362</v>
      </c>
      <c r="D23" s="10" t="s">
        <v>298</v>
      </c>
      <c r="E23" s="10" t="s">
        <v>363</v>
      </c>
      <c r="F23" s="14" t="s">
        <v>89</v>
      </c>
      <c r="G23" s="10"/>
      <c r="H23" s="11" t="s">
        <v>364</v>
      </c>
    </row>
    <row r="24" customFormat="false" ht="19.5" hidden="false" customHeight="true" outlineLevel="0" collapsed="false">
      <c r="A24" s="4" t="s">
        <v>92</v>
      </c>
      <c r="B24" s="5" t="s">
        <v>365</v>
      </c>
      <c r="C24" s="5" t="s">
        <v>366</v>
      </c>
      <c r="D24" s="4" t="s">
        <v>298</v>
      </c>
      <c r="E24" s="4" t="s">
        <v>298</v>
      </c>
      <c r="F24" s="14" t="s">
        <v>89</v>
      </c>
      <c r="G24" s="4"/>
      <c r="H24" s="5" t="s">
        <v>367</v>
      </c>
    </row>
    <row r="25" customFormat="false" ht="19.5" hidden="false" customHeight="true" outlineLevel="0" collapsed="false">
      <c r="A25" s="10" t="s">
        <v>96</v>
      </c>
      <c r="B25" s="11" t="s">
        <v>368</v>
      </c>
      <c r="C25" s="11" t="s">
        <v>369</v>
      </c>
      <c r="D25" s="10" t="s">
        <v>370</v>
      </c>
      <c r="E25" s="10"/>
      <c r="F25" s="15" t="s">
        <v>302</v>
      </c>
      <c r="G25" s="10"/>
      <c r="H25" s="11" t="s">
        <v>371</v>
      </c>
    </row>
    <row r="26" customFormat="false" ht="19.5" hidden="false" customHeight="true" outlineLevel="0" collapsed="false">
      <c r="A26" s="4" t="s">
        <v>100</v>
      </c>
      <c r="B26" s="5" t="s">
        <v>372</v>
      </c>
      <c r="C26" s="5" t="s">
        <v>373</v>
      </c>
      <c r="D26" s="4" t="s">
        <v>301</v>
      </c>
      <c r="E26" s="4"/>
      <c r="F26" s="15" t="s">
        <v>302</v>
      </c>
      <c r="G26" s="4"/>
      <c r="H26" s="5" t="s">
        <v>374</v>
      </c>
    </row>
    <row r="27" customFormat="false" ht="19.5" hidden="false" customHeight="true" outlineLevel="0" collapsed="false">
      <c r="A27" s="10" t="s">
        <v>104</v>
      </c>
      <c r="B27" s="11" t="s">
        <v>375</v>
      </c>
      <c r="C27" s="11" t="s">
        <v>376</v>
      </c>
      <c r="D27" s="10" t="s">
        <v>377</v>
      </c>
      <c r="E27" s="10"/>
      <c r="F27" s="15" t="s">
        <v>302</v>
      </c>
      <c r="G27" s="10"/>
      <c r="H27" s="11" t="s">
        <v>378</v>
      </c>
    </row>
    <row r="28" customFormat="false" ht="19.5" hidden="false" customHeight="true" outlineLevel="0" collapsed="false">
      <c r="A28" s="4" t="s">
        <v>108</v>
      </c>
      <c r="B28" s="5" t="s">
        <v>379</v>
      </c>
      <c r="C28" s="5" t="s">
        <v>380</v>
      </c>
      <c r="D28" s="4" t="s">
        <v>298</v>
      </c>
      <c r="E28" s="4" t="s">
        <v>381</v>
      </c>
      <c r="F28" s="14" t="s">
        <v>89</v>
      </c>
      <c r="G28" s="4"/>
      <c r="H28" s="5" t="s">
        <v>382</v>
      </c>
    </row>
    <row r="29" customFormat="false" ht="19.5" hidden="false" customHeight="true" outlineLevel="0" collapsed="false">
      <c r="A29" s="10" t="s">
        <v>112</v>
      </c>
      <c r="B29" s="11" t="s">
        <v>383</v>
      </c>
      <c r="C29" s="11" t="s">
        <v>384</v>
      </c>
      <c r="D29" s="10" t="s">
        <v>312</v>
      </c>
      <c r="E29" s="10"/>
      <c r="F29" s="8" t="s">
        <v>114</v>
      </c>
      <c r="G29" s="16" t="n">
        <v>14</v>
      </c>
      <c r="H29" s="11" t="s">
        <v>385</v>
      </c>
    </row>
    <row r="30" customFormat="false" ht="19.5" hidden="false" customHeight="true" outlineLevel="0" collapsed="false">
      <c r="A30" s="4" t="s">
        <v>117</v>
      </c>
      <c r="B30" s="5" t="s">
        <v>386</v>
      </c>
      <c r="C30" s="5" t="s">
        <v>387</v>
      </c>
      <c r="D30" s="4" t="s">
        <v>334</v>
      </c>
      <c r="E30" s="4"/>
      <c r="F30" s="15" t="s">
        <v>302</v>
      </c>
      <c r="G30" s="4"/>
      <c r="H30" s="5" t="s">
        <v>388</v>
      </c>
    </row>
    <row r="31" customFormat="false" ht="19.5" hidden="false" customHeight="true" outlineLevel="0" collapsed="false">
      <c r="A31" s="10" t="s">
        <v>121</v>
      </c>
      <c r="B31" s="11" t="s">
        <v>389</v>
      </c>
      <c r="C31" s="11" t="s">
        <v>390</v>
      </c>
      <c r="D31" s="10" t="s">
        <v>323</v>
      </c>
      <c r="E31" s="10"/>
      <c r="F31" s="15" t="s">
        <v>302</v>
      </c>
      <c r="G31" s="10"/>
      <c r="H31" s="11" t="s">
        <v>391</v>
      </c>
    </row>
    <row r="32" customFormat="false" ht="19.5" hidden="false" customHeight="true" outlineLevel="0" collapsed="false">
      <c r="A32" s="4" t="s">
        <v>125</v>
      </c>
      <c r="B32" s="5" t="s">
        <v>392</v>
      </c>
      <c r="C32" s="5" t="s">
        <v>393</v>
      </c>
      <c r="D32" s="4" t="s">
        <v>319</v>
      </c>
      <c r="E32" s="4"/>
      <c r="F32" s="15" t="s">
        <v>302</v>
      </c>
      <c r="G32" s="4"/>
      <c r="H32" s="5" t="s">
        <v>394</v>
      </c>
    </row>
    <row r="33" customFormat="false" ht="19.5" hidden="false" customHeight="true" outlineLevel="0" collapsed="false">
      <c r="A33" s="10" t="s">
        <v>129</v>
      </c>
      <c r="B33" s="11" t="s">
        <v>395</v>
      </c>
      <c r="C33" s="11" t="s">
        <v>396</v>
      </c>
      <c r="D33" s="10" t="s">
        <v>340</v>
      </c>
      <c r="E33" s="10"/>
      <c r="F33" s="15" t="s">
        <v>302</v>
      </c>
      <c r="G33" s="10"/>
      <c r="H33" s="11" t="s">
        <v>397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</cols>
  <sheetData>
    <row r="1" customFormat="false" ht="27.75" hidden="false" customHeight="true" outlineLevel="0" collapsed="false">
      <c r="A1" s="1" t="s">
        <v>398</v>
      </c>
      <c r="B1" s="1"/>
    </row>
    <row r="2" customFormat="false" ht="15.75" hidden="false" customHeight="true" outlineLevel="0" collapsed="false">
      <c r="A2" s="2" t="s">
        <v>399</v>
      </c>
      <c r="B2" s="2"/>
    </row>
    <row r="3" customFormat="false" ht="21.75" hidden="false" customHeight="true" outlineLevel="0" collapsed="false">
      <c r="A3" s="28" t="s">
        <v>400</v>
      </c>
      <c r="B3" s="29" t="s">
        <v>401</v>
      </c>
    </row>
    <row r="4" customFormat="false" ht="21.75" hidden="false" customHeight="true" outlineLevel="0" collapsed="false">
      <c r="A4" s="28" t="s">
        <v>402</v>
      </c>
      <c r="B4" s="29" t="s">
        <v>403</v>
      </c>
    </row>
    <row r="5" customFormat="false" ht="21.75" hidden="false" customHeight="true" outlineLevel="0" collapsed="false">
      <c r="A5" s="30"/>
      <c r="B5" s="31"/>
    </row>
    <row r="6" customFormat="false" ht="21.75" hidden="false" customHeight="true" outlineLevel="0" collapsed="false">
      <c r="A6" s="28" t="s">
        <v>404</v>
      </c>
      <c r="B6" s="29"/>
    </row>
    <row r="7" customFormat="false" ht="21.75" hidden="false" customHeight="true" outlineLevel="0" collapsed="false">
      <c r="A7" s="28" t="s">
        <v>405</v>
      </c>
      <c r="B7" s="29" t="s">
        <v>406</v>
      </c>
    </row>
    <row r="8" customFormat="false" ht="21.75" hidden="false" customHeight="true" outlineLevel="0" collapsed="false">
      <c r="A8" s="28" t="s">
        <v>407</v>
      </c>
      <c r="B8" s="29" t="s">
        <v>408</v>
      </c>
    </row>
    <row r="9" customFormat="false" ht="21.75" hidden="false" customHeight="true" outlineLevel="0" collapsed="false">
      <c r="A9" s="28" t="s">
        <v>409</v>
      </c>
      <c r="B9" s="29" t="s">
        <v>410</v>
      </c>
    </row>
    <row r="10" customFormat="false" ht="21.75" hidden="false" customHeight="true" outlineLevel="0" collapsed="false">
      <c r="A10" s="28" t="s">
        <v>411</v>
      </c>
      <c r="B10" s="29" t="s">
        <v>412</v>
      </c>
    </row>
    <row r="11" customFormat="false" ht="21.75" hidden="false" customHeight="true" outlineLevel="0" collapsed="false">
      <c r="A11" s="28" t="s">
        <v>413</v>
      </c>
      <c r="B11" s="29" t="s">
        <v>414</v>
      </c>
    </row>
    <row r="12" customFormat="false" ht="21.75" hidden="false" customHeight="true" outlineLevel="0" collapsed="false">
      <c r="A12" s="28" t="s">
        <v>415</v>
      </c>
      <c r="B12" s="29" t="s">
        <v>416</v>
      </c>
    </row>
    <row r="13" customFormat="false" ht="21.75" hidden="false" customHeight="true" outlineLevel="0" collapsed="false">
      <c r="A13" s="28" t="s">
        <v>417</v>
      </c>
      <c r="B13" s="29" t="s">
        <v>418</v>
      </c>
    </row>
    <row r="14" customFormat="false" ht="21.75" hidden="false" customHeight="true" outlineLevel="0" collapsed="false">
      <c r="A14" s="30"/>
      <c r="B14" s="31"/>
    </row>
    <row r="15" customFormat="false" ht="21.75" hidden="false" customHeight="true" outlineLevel="0" collapsed="false">
      <c r="A15" s="28" t="s">
        <v>419</v>
      </c>
      <c r="B15" s="29" t="s">
        <v>420</v>
      </c>
    </row>
    <row r="16" customFormat="false" ht="21.75" hidden="false" customHeight="true" outlineLevel="0" collapsed="false">
      <c r="A16" s="28" t="s">
        <v>421</v>
      </c>
      <c r="B16" s="29" t="s">
        <v>422</v>
      </c>
    </row>
    <row r="17" customFormat="false" ht="21.75" hidden="false" customHeight="true" outlineLevel="0" collapsed="false">
      <c r="A17" s="28" t="s">
        <v>423</v>
      </c>
      <c r="B17" s="29" t="s">
        <v>424</v>
      </c>
    </row>
    <row r="18" customFormat="false" ht="21.75" hidden="false" customHeight="true" outlineLevel="0" collapsed="false">
      <c r="A18" s="30"/>
      <c r="B18" s="31"/>
    </row>
    <row r="19" customFormat="false" ht="21.75" hidden="false" customHeight="true" outlineLevel="0" collapsed="false">
      <c r="A19" s="28" t="s">
        <v>425</v>
      </c>
      <c r="B19" s="29" t="s">
        <v>426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2026-06-15T09:18:43Z</dcterms:created>
  <dc:creator>openpyxl</dc:creator>
  <dc:description/>
  <dc:language>en-US</dc:language>
  <cp:lastModifiedBy/>
  <dcterms:modified xsi:type="dcterms:W3CDTF">2026-06-15T09:18:43Z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